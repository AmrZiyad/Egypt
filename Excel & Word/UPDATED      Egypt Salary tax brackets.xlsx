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 Ziyad\Desktop\Amr BSB &amp; Egypt\Kings EGYPT\Excel\"/>
    </mc:Choice>
  </mc:AlternateContent>
  <xr:revisionPtr revIDLastSave="0" documentId="13_ncr:1_{CC48F0B2-DBD7-49CF-95D8-73BD1EAEE1AA}" xr6:coauthVersionLast="47" xr6:coauthVersionMax="47" xr10:uidLastSave="{00000000-0000-0000-0000-000000000000}"/>
  <bookViews>
    <workbookView xWindow="-110" yWindow="-110" windowWidth="19420" windowHeight="11500" firstSheet="1" activeTab="4" xr2:uid="{8094F684-4179-42E8-9EA5-A2C55FF0FF26}"/>
  </bookViews>
  <sheets>
    <sheet name="Employee information" sheetId="3" r:id="rId1"/>
    <sheet name="Payroll" sheetId="1" r:id="rId2"/>
    <sheet name="Tax slots" sheetId="2" r:id="rId3"/>
    <sheet name="Tax ded formula" sheetId="4" r:id="rId4"/>
    <sheet name="Tax ded formula (2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5" l="1"/>
  <c r="C43" i="5"/>
  <c r="C40" i="4"/>
  <c r="B31" i="5"/>
  <c r="C42" i="5"/>
  <c r="C41" i="5"/>
  <c r="B30" i="5"/>
  <c r="B25" i="5"/>
  <c r="B14" i="5"/>
  <c r="B27" i="5" s="1"/>
  <c r="B30" i="4"/>
  <c r="C46" i="4"/>
  <c r="C45" i="4"/>
  <c r="C44" i="4"/>
  <c r="C43" i="4"/>
  <c r="C42" i="4"/>
  <c r="C41" i="4"/>
  <c r="B31" i="4"/>
  <c r="B25" i="4"/>
  <c r="B14" i="4"/>
  <c r="B27" i="4" s="1"/>
  <c r="F43" i="2"/>
  <c r="F45" i="2" s="1"/>
  <c r="F32" i="2"/>
  <c r="G32" i="2" s="1"/>
  <c r="M11" i="2"/>
  <c r="M10" i="2"/>
  <c r="M12" i="2" s="1"/>
  <c r="M13" i="2" s="1"/>
  <c r="K10" i="2"/>
  <c r="I10" i="2"/>
  <c r="G10" i="2"/>
  <c r="E10" i="2"/>
  <c r="C10" i="2"/>
  <c r="K9" i="2"/>
  <c r="I9" i="2"/>
  <c r="G9" i="2"/>
  <c r="E9" i="2"/>
  <c r="C9" i="2"/>
  <c r="I8" i="2"/>
  <c r="G8" i="2"/>
  <c r="E8" i="2"/>
  <c r="C8" i="2"/>
  <c r="G7" i="2"/>
  <c r="E7" i="2"/>
  <c r="C7" i="2"/>
  <c r="E6" i="2"/>
  <c r="C6" i="2"/>
  <c r="C5" i="2"/>
  <c r="F26" i="1"/>
  <c r="F15" i="1"/>
  <c r="G15" i="1" s="1"/>
  <c r="C47" i="5" l="1"/>
  <c r="C48" i="5" s="1"/>
  <c r="B50" i="5" s="1"/>
  <c r="B53" i="5" s="1"/>
  <c r="C47" i="4"/>
  <c r="C48" i="4" s="1"/>
  <c r="B50" i="4" s="1"/>
  <c r="B53" i="4" s="1"/>
  <c r="B35" i="5"/>
  <c r="C40" i="5" s="1"/>
  <c r="B35" i="4"/>
  <c r="C12" i="2"/>
  <c r="C13" i="2" s="1"/>
  <c r="G12" i="2"/>
  <c r="G13" i="2" s="1"/>
  <c r="E12" i="2"/>
  <c r="E13" i="2" s="1"/>
  <c r="K12" i="2"/>
  <c r="K13" i="2" s="1"/>
  <c r="I12" i="2"/>
  <c r="I13" i="2" s="1"/>
  <c r="F28" i="1"/>
</calcChain>
</file>

<file path=xl/sharedStrings.xml><?xml version="1.0" encoding="utf-8"?>
<sst xmlns="http://schemas.openxmlformats.org/spreadsheetml/2006/main" count="291" uniqueCount="188">
  <si>
    <t>Annual Tax pool</t>
  </si>
  <si>
    <t>From 600 to 700</t>
  </si>
  <si>
    <t>From 700 to 800</t>
  </si>
  <si>
    <t>From 800 to 900</t>
  </si>
  <si>
    <t>From 900 to 1,2 Million</t>
  </si>
  <si>
    <t>Till 600,000</t>
  </si>
  <si>
    <t>From 1 to 40,000</t>
  </si>
  <si>
    <t>40,000 to 55,000</t>
  </si>
  <si>
    <t>55,000 to 70,000</t>
  </si>
  <si>
    <t>70,000 to 200,000</t>
  </si>
  <si>
    <t>200,000 to 400,000</t>
  </si>
  <si>
    <t>400,000 to 600,000</t>
  </si>
  <si>
    <t>From 1 to 55,000</t>
  </si>
  <si>
    <t>From 1 to 70,000</t>
  </si>
  <si>
    <t>From 1 to 200,000</t>
  </si>
  <si>
    <t>From 1 to 400,000</t>
  </si>
  <si>
    <t>400,000 to 700,000</t>
  </si>
  <si>
    <t>400,000 to 800,000</t>
  </si>
  <si>
    <t>400,000 to 900,000</t>
  </si>
  <si>
    <t>400,000 to 1,200,000</t>
  </si>
  <si>
    <t>From 1 to 1,200,000</t>
  </si>
  <si>
    <t>More than 1,2 Million</t>
  </si>
  <si>
    <t>Brackets</t>
  </si>
  <si>
    <t>Brackets+ Sample for each case</t>
  </si>
  <si>
    <t>Annual tax pool: 660000 (Monthly 55,000)</t>
  </si>
  <si>
    <t>Annual tax pool: 780,000 (Monthly 65,000)</t>
  </si>
  <si>
    <t>Annual tax pool: 840,000 (Monthly 70,000)</t>
  </si>
  <si>
    <t>Annual tax pool: 1,080,000 (Monthly 90,000)</t>
  </si>
  <si>
    <t>Annual tax pool: 1,320,000 (Monthly 110,000)</t>
  </si>
  <si>
    <t>Annual tax pool: 540,000 (Monthly 45,000)</t>
  </si>
  <si>
    <t>Total Annual salary tax</t>
  </si>
  <si>
    <t>Monthly salary tax</t>
  </si>
  <si>
    <t>Please note that the annual taxable base for salary tax is calculated after deducting the annual personal exemption of 20,000 and the employee's share of social insurance contributions.</t>
  </si>
  <si>
    <t>Tax rate
Annual Salary</t>
  </si>
  <si>
    <t>Basic</t>
  </si>
  <si>
    <t>HRA</t>
  </si>
  <si>
    <t>Allowance</t>
  </si>
  <si>
    <t>OT</t>
  </si>
  <si>
    <t>Deduction</t>
  </si>
  <si>
    <t>Bonus</t>
  </si>
  <si>
    <t>Loan</t>
  </si>
  <si>
    <t>Tax</t>
  </si>
  <si>
    <t>Salary Fields</t>
  </si>
  <si>
    <t>Re-Imburesment</t>
  </si>
  <si>
    <t>Flight Allowance</t>
  </si>
  <si>
    <t>Re-Alocation Allowance</t>
  </si>
  <si>
    <t>Other</t>
  </si>
  <si>
    <t>Absenties</t>
  </si>
  <si>
    <t>Lateness or Early leave</t>
  </si>
  <si>
    <t>Sick leave</t>
  </si>
  <si>
    <t>Sancations/ Penality</t>
  </si>
  <si>
    <t>Other Ded</t>
  </si>
  <si>
    <t>Yealy</t>
  </si>
  <si>
    <t>Total Monthly Salary</t>
  </si>
  <si>
    <t>Total Net Salary</t>
  </si>
  <si>
    <t>Total Deduction</t>
  </si>
  <si>
    <t>Department</t>
  </si>
  <si>
    <t>Employee details</t>
  </si>
  <si>
    <t>AMR Ziyad -Every Month</t>
  </si>
  <si>
    <t>1. Employee Personal Information</t>
  </si>
  <si>
    <t>Field</t>
  </si>
  <si>
    <t>Employee ID</t>
  </si>
  <si>
    <t>First Name</t>
  </si>
  <si>
    <t>Second Name</t>
  </si>
  <si>
    <t>Third Name</t>
  </si>
  <si>
    <t>Family Name</t>
  </si>
  <si>
    <t>Full Name in Arabic</t>
  </si>
  <si>
    <r>
      <t xml:space="preserve">National ID / </t>
    </r>
    <r>
      <rPr>
        <b/>
        <sz val="12"/>
        <color theme="1"/>
        <rFont val="Arial"/>
        <family val="2"/>
      </rPr>
      <t>الرقم القومي</t>
    </r>
  </si>
  <si>
    <t>Date of Birth</t>
  </si>
  <si>
    <t>Gender</t>
  </si>
  <si>
    <t>Nationality</t>
  </si>
  <si>
    <t>Marital Status</t>
  </si>
  <si>
    <t>Mobile Number</t>
  </si>
  <si>
    <t>Personal Email</t>
  </si>
  <si>
    <t>Address</t>
  </si>
  <si>
    <t>2. Employment Information</t>
  </si>
  <si>
    <t>Employee Number</t>
  </si>
  <si>
    <t>Date of Joining</t>
  </si>
  <si>
    <t>Employment Status</t>
  </si>
  <si>
    <t>Employment Type</t>
  </si>
  <si>
    <t>Job Title</t>
  </si>
  <si>
    <t>Branch / Location</t>
  </si>
  <si>
    <t>Reporting Manager</t>
  </si>
  <si>
    <t>Contract Start Date</t>
  </si>
  <si>
    <t>Contract End Date</t>
  </si>
  <si>
    <t>Probation Period</t>
  </si>
  <si>
    <t>Confirmation Date</t>
  </si>
  <si>
    <t>Working Hours</t>
  </si>
  <si>
    <t>Work Schedule</t>
  </si>
  <si>
    <t xml:space="preserve">3. Egyptian Social Insurance — </t>
  </si>
  <si>
    <r>
      <t xml:space="preserve">Insurance Number / </t>
    </r>
    <r>
      <rPr>
        <b/>
        <sz val="12"/>
        <color theme="1"/>
        <rFont val="Arial"/>
        <family val="2"/>
      </rPr>
      <t>الرقم التأميني</t>
    </r>
    <r>
      <rPr>
        <sz val="12"/>
        <color theme="1"/>
        <rFont val="Arial"/>
        <family val="2"/>
      </rPr>
      <t xml:space="preserve"> </t>
    </r>
  </si>
  <si>
    <t>Insurance Office</t>
  </si>
  <si>
    <t>Insurance Start Date</t>
  </si>
  <si>
    <t>Previous Insurance Period</t>
  </si>
  <si>
    <t>Previous Employer</t>
  </si>
  <si>
    <r>
      <t xml:space="preserve">Insurance Wage / </t>
    </r>
    <r>
      <rPr>
        <sz val="12"/>
        <color theme="1"/>
        <rFont val="Arial"/>
        <family val="2"/>
      </rPr>
      <t xml:space="preserve">الأجر التأميني </t>
    </r>
  </si>
  <si>
    <t>Insurance Status</t>
  </si>
  <si>
    <t>Social Insurance Category</t>
  </si>
  <si>
    <t>Medical Fitness Certificate / Form 111</t>
  </si>
  <si>
    <t>Previous pension information, where applicable</t>
  </si>
  <si>
    <t>4. Payroll / Salary</t>
  </si>
  <si>
    <t>Salary Type — Monthly / Daily / Hourly</t>
  </si>
  <si>
    <t>Basic Salary</t>
  </si>
  <si>
    <t>Gross Salary</t>
  </si>
  <si>
    <t>Basic Insurance Salary</t>
  </si>
  <si>
    <t>Housing Allowance</t>
  </si>
  <si>
    <t>Transportation Allowance</t>
  </si>
  <si>
    <t>Other Fixed Allowances</t>
  </si>
  <si>
    <t>Variable Allowances</t>
  </si>
  <si>
    <t>Overtime</t>
  </si>
  <si>
    <t>Bonuses</t>
  </si>
  <si>
    <t>Commissions</t>
  </si>
  <si>
    <t>Other Earnings</t>
  </si>
  <si>
    <t>Recurring Deductions</t>
  </si>
  <si>
    <t>Effective From Date</t>
  </si>
  <si>
    <t>Payment Method</t>
  </si>
  <si>
    <t>Bank Name</t>
  </si>
  <si>
    <t>Bank Account Number</t>
  </si>
  <si>
    <t>IBAN</t>
  </si>
  <si>
    <t>Currency</t>
  </si>
  <si>
    <t>5. Tax Information</t>
  </si>
  <si>
    <r>
      <t xml:space="preserve">For Egypt, I would have a separate </t>
    </r>
    <r>
      <rPr>
        <b/>
        <sz val="12"/>
        <color theme="1"/>
        <rFont val="Aptos"/>
        <family val="2"/>
      </rPr>
      <t>Payroll Tax</t>
    </r>
    <r>
      <rPr>
        <sz val="12"/>
        <color theme="1"/>
        <rFont val="Aptos"/>
        <family val="2"/>
      </rPr>
      <t xml:space="preserve"> section:</t>
    </r>
  </si>
  <si>
    <t>Taxable Employee — Yes/No</t>
  </si>
  <si>
    <t>Tax Registration/Tax-related identifier, where applicable</t>
  </si>
  <si>
    <t>Tax Treatment</t>
  </si>
  <si>
    <t>Taxable Salary</t>
  </si>
  <si>
    <t>Employee Social Insurance Deduction</t>
  </si>
  <si>
    <t>Personal Allowance/Exemption</t>
  </si>
  <si>
    <t>Other Tax Exemptions</t>
  </si>
  <si>
    <t>Taxable Benefits</t>
  </si>
  <si>
    <t>Monthly Income Tax</t>
  </si>
  <si>
    <t>Annual Tax Adjustment</t>
  </si>
  <si>
    <t>Tax Status</t>
  </si>
  <si>
    <t>7. Documents</t>
  </si>
  <si>
    <t>For Egypt, I'd include:</t>
  </si>
  <si>
    <t>National ID</t>
  </si>
  <si>
    <t>Birth Certificate</t>
  </si>
  <si>
    <t>Employment Contract</t>
  </si>
  <si>
    <t>Educational Certificate</t>
  </si>
  <si>
    <t>Professional Syndicate/Membership document, if applicable</t>
  </si>
  <si>
    <t>Medical Fitness Certificate — Form 111</t>
  </si>
  <si>
    <t>Social Insurance documents</t>
  </si>
  <si>
    <t>Bank document/IBAN</t>
  </si>
  <si>
    <t>Passport — if applicable</t>
  </si>
  <si>
    <t>Work Permit — for foreign employees</t>
  </si>
  <si>
    <t>Other documents</t>
  </si>
  <si>
    <t>Iam designing the software, I suggest these 7 tabs</t>
  </si>
  <si>
    <t>Employee Registration</t>
  </si>
  <si>
    <r>
      <t>1. 👤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Personal Information</t>
    </r>
  </si>
  <si>
    <r>
      <t>2. 🏢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Employment</t>
    </r>
  </si>
  <si>
    <r>
      <t>3. 💰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Salary &amp; Payroll</t>
    </r>
  </si>
  <si>
    <r>
      <t>4. 🧾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Tax</t>
    </r>
  </si>
  <si>
    <r>
      <t>5. 🏛️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Social Insurance</t>
    </r>
  </si>
  <si>
    <r>
      <t>6. 🏦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Bank Details</t>
    </r>
  </si>
  <si>
    <r>
      <t>7. 📄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Documents</t>
    </r>
  </si>
  <si>
    <t>Top of Form</t>
  </si>
  <si>
    <t>Bottom of Form</t>
  </si>
  <si>
    <t>Mohammed Ali -Every Month</t>
  </si>
  <si>
    <t>Earning</t>
  </si>
  <si>
    <t>Variable Allowance</t>
  </si>
  <si>
    <t>0T</t>
  </si>
  <si>
    <t>ht Allowance</t>
  </si>
  <si>
    <t>Transport Allowence</t>
  </si>
  <si>
    <t>Re-Alocatjon Allowance</t>
  </si>
  <si>
    <t>Gross Sa</t>
  </si>
  <si>
    <t>Monthly net salary before deductions</t>
  </si>
  <si>
    <t>Loans is not deductable from tax base</t>
  </si>
  <si>
    <t>deductable</t>
  </si>
  <si>
    <t>These are the fileds to be calulate for TAX</t>
  </si>
  <si>
    <t>Lateness or Ear leave</t>
  </si>
  <si>
    <t>SC k leave</t>
  </si>
  <si>
    <t>Sancations/ Penalit</t>
  </si>
  <si>
    <t>Absennes</t>
  </si>
  <si>
    <t>Total Net Sal before Tax</t>
  </si>
  <si>
    <t>Tax Calculation</t>
  </si>
  <si>
    <t>Personal exemption</t>
  </si>
  <si>
    <t>20000/12</t>
  </si>
  <si>
    <t>Social Insurance(employee share)</t>
  </si>
  <si>
    <t>16700*11%</t>
  </si>
  <si>
    <t>Max</t>
  </si>
  <si>
    <t>Min sal if les than 16,700/-Then Formula</t>
  </si>
  <si>
    <t>Salary * 11%</t>
  </si>
  <si>
    <t>Net salary for Tax cal</t>
  </si>
  <si>
    <t>400,000 to 484,096</t>
  </si>
  <si>
    <t>Net salary after tax</t>
  </si>
  <si>
    <t>Take away to home after loan ded</t>
  </si>
  <si>
    <r>
      <t xml:space="preserve">Annual tax base </t>
    </r>
    <r>
      <rPr>
        <sz val="11"/>
        <color rgb="FFFF0000"/>
        <rFont val="Aptos Narrow"/>
        <family val="2"/>
        <scheme val="minor"/>
      </rPr>
      <t>-Income Tax</t>
    </r>
  </si>
  <si>
    <t>70,000 to 154300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</si>
</sst>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444746"/>
      <name val="Google Sans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Segoe UI Emoji"/>
      <family val="2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43" fontId="0" fillId="2" borderId="2" xfId="1" applyFont="1" applyFill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43" fontId="0" fillId="2" borderId="7" xfId="1" applyFont="1" applyFill="1" applyBorder="1" applyAlignment="1">
      <alignment horizontal="center" vertical="center"/>
    </xf>
    <xf numFmtId="43" fontId="0" fillId="2" borderId="7" xfId="1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43" fontId="0" fillId="3" borderId="2" xfId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43" fontId="0" fillId="2" borderId="9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3" fontId="0" fillId="3" borderId="13" xfId="0" applyNumberForma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3" fontId="2" fillId="0" borderId="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3" fontId="2" fillId="0" borderId="4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0" borderId="10" xfId="0" applyNumberFormat="1" applyFont="1" applyBorder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43" fontId="3" fillId="0" borderId="0" xfId="1" applyFont="1"/>
    <xf numFmtId="0" fontId="6" fillId="0" borderId="0" xfId="0" applyFont="1"/>
    <xf numFmtId="0" fontId="5" fillId="0" borderId="0" xfId="0" applyFont="1"/>
    <xf numFmtId="0" fontId="3" fillId="0" borderId="0" xfId="0" applyFont="1"/>
    <xf numFmtId="43" fontId="3" fillId="0" borderId="21" xfId="1" applyFont="1" applyBorder="1"/>
    <xf numFmtId="43" fontId="3" fillId="0" borderId="21" xfId="1" applyFont="1" applyFill="1" applyBorder="1"/>
    <xf numFmtId="43" fontId="3" fillId="0" borderId="7" xfId="1" applyFont="1" applyBorder="1"/>
    <xf numFmtId="43" fontId="3" fillId="0" borderId="9" xfId="1" applyFont="1" applyBorder="1"/>
    <xf numFmtId="43" fontId="3" fillId="5" borderId="9" xfId="1" applyFont="1" applyFill="1" applyBorder="1"/>
    <xf numFmtId="43" fontId="3" fillId="5" borderId="21" xfId="1" applyFont="1" applyFill="1" applyBorder="1"/>
    <xf numFmtId="43" fontId="7" fillId="5" borderId="7" xfId="1" applyFont="1" applyFill="1" applyBorder="1"/>
    <xf numFmtId="43" fontId="7" fillId="5" borderId="21" xfId="1" applyFont="1" applyFill="1" applyBorder="1"/>
    <xf numFmtId="43" fontId="8" fillId="7" borderId="21" xfId="1" applyFont="1" applyFill="1" applyBorder="1"/>
    <xf numFmtId="43" fontId="7" fillId="0" borderId="0" xfId="1" applyFont="1" applyAlignment="1">
      <alignment horizont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7" fillId="5" borderId="0" xfId="0" applyFont="1" applyFill="1"/>
    <xf numFmtId="43" fontId="7" fillId="5" borderId="0" xfId="1" applyFont="1" applyFill="1"/>
    <xf numFmtId="43" fontId="0" fillId="0" borderId="0" xfId="1" applyFont="1"/>
    <xf numFmtId="0" fontId="0" fillId="8" borderId="0" xfId="0" applyFill="1"/>
    <xf numFmtId="0" fontId="0" fillId="5" borderId="0" xfId="0" applyFill="1"/>
    <xf numFmtId="43" fontId="0" fillId="6" borderId="0" xfId="1" applyFont="1" applyFill="1"/>
    <xf numFmtId="0" fontId="14" fillId="0" borderId="0" xfId="0" applyFont="1"/>
    <xf numFmtId="43" fontId="14" fillId="0" borderId="0" xfId="1" applyFont="1"/>
    <xf numFmtId="43" fontId="0" fillId="4" borderId="0" xfId="1" applyFont="1" applyFill="1"/>
    <xf numFmtId="43" fontId="0" fillId="3" borderId="21" xfId="1" applyFont="1" applyFill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/>
    </xf>
    <xf numFmtId="43" fontId="0" fillId="3" borderId="21" xfId="1" applyFont="1" applyFill="1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43" fontId="0" fillId="4" borderId="21" xfId="1" applyFont="1" applyFill="1" applyBorder="1" applyAlignment="1">
      <alignment horizontal="center" vertical="center" wrapText="1"/>
    </xf>
    <xf numFmtId="0" fontId="2" fillId="0" borderId="21" xfId="0" applyFont="1" applyBorder="1"/>
    <xf numFmtId="43" fontId="0" fillId="0" borderId="21" xfId="1" applyFont="1" applyBorder="1"/>
    <xf numFmtId="43" fontId="2" fillId="0" borderId="21" xfId="0" applyNumberFormat="1" applyFont="1" applyBorder="1"/>
    <xf numFmtId="0" fontId="8" fillId="4" borderId="0" xfId="0" applyFont="1" applyFill="1"/>
    <xf numFmtId="43" fontId="8" fillId="4" borderId="0" xfId="1" applyFont="1" applyFill="1"/>
    <xf numFmtId="43" fontId="15" fillId="8" borderId="0" xfId="1" applyFont="1" applyFill="1"/>
    <xf numFmtId="0" fontId="0" fillId="0" borderId="0" xfId="0" applyAlignment="1">
      <alignment horizontal="center" vertical="center" wrapText="1"/>
    </xf>
    <xf numFmtId="43" fontId="4" fillId="0" borderId="21" xfId="1" applyFont="1" applyBorder="1" applyAlignment="1">
      <alignment horizontal="center" vertical="center"/>
    </xf>
    <xf numFmtId="43" fontId="3" fillId="6" borderId="9" xfId="1" applyFont="1" applyFill="1" applyBorder="1" applyAlignment="1">
      <alignment horizontal="left"/>
    </xf>
    <xf numFmtId="43" fontId="3" fillId="6" borderId="7" xfId="1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6079-C8DB-42D0-845D-2346C297F07D}">
  <dimension ref="B2:B130"/>
  <sheetViews>
    <sheetView workbookViewId="0">
      <selection activeCell="C109" sqref="C109"/>
    </sheetView>
  </sheetViews>
  <sheetFormatPr defaultRowHeight="14.5"/>
  <cols>
    <col min="2" max="2" width="60.1796875" bestFit="1" customWidth="1"/>
    <col min="3" max="3" width="69.54296875" customWidth="1"/>
  </cols>
  <sheetData>
    <row r="2" spans="2:2" ht="16">
      <c r="B2" s="45" t="s">
        <v>59</v>
      </c>
    </row>
    <row r="3" spans="2:2" ht="16">
      <c r="B3" s="45" t="s">
        <v>60</v>
      </c>
    </row>
    <row r="4" spans="2:2" ht="16">
      <c r="B4" s="45" t="s">
        <v>61</v>
      </c>
    </row>
    <row r="5" spans="2:2" ht="16">
      <c r="B5" s="45" t="s">
        <v>62</v>
      </c>
    </row>
    <row r="6" spans="2:2" ht="16">
      <c r="B6" s="45" t="s">
        <v>63</v>
      </c>
    </row>
    <row r="7" spans="2:2" ht="16">
      <c r="B7" s="45" t="s">
        <v>64</v>
      </c>
    </row>
    <row r="8" spans="2:2" ht="16">
      <c r="B8" s="45" t="s">
        <v>65</v>
      </c>
    </row>
    <row r="9" spans="2:2" ht="16">
      <c r="B9" s="45" t="s">
        <v>66</v>
      </c>
    </row>
    <row r="10" spans="2:2" ht="16">
      <c r="B10" s="45" t="s">
        <v>67</v>
      </c>
    </row>
    <row r="11" spans="2:2" ht="16">
      <c r="B11" s="45" t="s">
        <v>68</v>
      </c>
    </row>
    <row r="12" spans="2:2" ht="16">
      <c r="B12" s="45" t="s">
        <v>69</v>
      </c>
    </row>
    <row r="13" spans="2:2" ht="16">
      <c r="B13" s="45" t="s">
        <v>70</v>
      </c>
    </row>
    <row r="14" spans="2:2" ht="16">
      <c r="B14" s="45" t="s">
        <v>71</v>
      </c>
    </row>
    <row r="15" spans="2:2" ht="16">
      <c r="B15" s="45" t="s">
        <v>72</v>
      </c>
    </row>
    <row r="16" spans="2:2" ht="16">
      <c r="B16" s="45" t="s">
        <v>73</v>
      </c>
    </row>
    <row r="17" spans="2:2" ht="16">
      <c r="B17" s="45" t="s">
        <v>74</v>
      </c>
    </row>
    <row r="18" spans="2:2" ht="16">
      <c r="B18" s="45"/>
    </row>
    <row r="19" spans="2:2" ht="16">
      <c r="B19" s="45" t="s">
        <v>75</v>
      </c>
    </row>
    <row r="20" spans="2:2" ht="16">
      <c r="B20" s="47" t="s">
        <v>76</v>
      </c>
    </row>
    <row r="21" spans="2:2" ht="16">
      <c r="B21" s="47" t="s">
        <v>77</v>
      </c>
    </row>
    <row r="22" spans="2:2" ht="16">
      <c r="B22" s="47" t="s">
        <v>78</v>
      </c>
    </row>
    <row r="23" spans="2:2" ht="16">
      <c r="B23" s="47" t="s">
        <v>79</v>
      </c>
    </row>
    <row r="24" spans="2:2" ht="16">
      <c r="B24" s="47" t="s">
        <v>80</v>
      </c>
    </row>
    <row r="25" spans="2:2" ht="16">
      <c r="B25" s="47" t="s">
        <v>56</v>
      </c>
    </row>
    <row r="26" spans="2:2" ht="16">
      <c r="B26" s="47" t="s">
        <v>81</v>
      </c>
    </row>
    <row r="27" spans="2:2" ht="16">
      <c r="B27" s="47" t="s">
        <v>82</v>
      </c>
    </row>
    <row r="28" spans="2:2" ht="16">
      <c r="B28" s="47" t="s">
        <v>83</v>
      </c>
    </row>
    <row r="29" spans="2:2" ht="16">
      <c r="B29" s="47" t="s">
        <v>84</v>
      </c>
    </row>
    <row r="30" spans="2:2" ht="16">
      <c r="B30" s="47" t="s">
        <v>85</v>
      </c>
    </row>
    <row r="31" spans="2:2" ht="16">
      <c r="B31" s="47" t="s">
        <v>86</v>
      </c>
    </row>
    <row r="32" spans="2:2" ht="16">
      <c r="B32" s="47" t="s">
        <v>87</v>
      </c>
    </row>
    <row r="33" spans="2:2" ht="16">
      <c r="B33" s="47" t="s">
        <v>88</v>
      </c>
    </row>
    <row r="34" spans="2:2" ht="16">
      <c r="B34" s="46"/>
    </row>
    <row r="35" spans="2:2" ht="16">
      <c r="B35" s="46"/>
    </row>
    <row r="36" spans="2:2" ht="16">
      <c r="B36" s="46"/>
    </row>
    <row r="37" spans="2:2" ht="16">
      <c r="B37" s="46"/>
    </row>
    <row r="38" spans="2:2" ht="16">
      <c r="B38" s="46"/>
    </row>
    <row r="39" spans="2:2" ht="16">
      <c r="B39" s="46"/>
    </row>
    <row r="40" spans="2:2" ht="16">
      <c r="B40" s="46"/>
    </row>
    <row r="41" spans="2:2" ht="16">
      <c r="B41" s="45" t="s">
        <v>89</v>
      </c>
    </row>
    <row r="42" spans="2:2" ht="16">
      <c r="B42" s="48" t="s">
        <v>90</v>
      </c>
    </row>
    <row r="43" spans="2:2" ht="16">
      <c r="B43" s="47" t="s">
        <v>91</v>
      </c>
    </row>
    <row r="44" spans="2:2" ht="16">
      <c r="B44" s="47" t="s">
        <v>92</v>
      </c>
    </row>
    <row r="45" spans="2:2" ht="16">
      <c r="B45" s="47" t="s">
        <v>93</v>
      </c>
    </row>
    <row r="46" spans="2:2" ht="16">
      <c r="B46" s="47" t="s">
        <v>94</v>
      </c>
    </row>
    <row r="47" spans="2:2" ht="16">
      <c r="B47" s="47" t="s">
        <v>95</v>
      </c>
    </row>
    <row r="48" spans="2:2" ht="16">
      <c r="B48" s="47" t="s">
        <v>96</v>
      </c>
    </row>
    <row r="49" spans="2:2" ht="16">
      <c r="B49" s="47" t="s">
        <v>97</v>
      </c>
    </row>
    <row r="50" spans="2:2" ht="16">
      <c r="B50" s="47" t="s">
        <v>98</v>
      </c>
    </row>
    <row r="51" spans="2:2" ht="16">
      <c r="B51" s="47" t="s">
        <v>99</v>
      </c>
    </row>
    <row r="52" spans="2:2" ht="16">
      <c r="B52" s="46"/>
    </row>
    <row r="53" spans="2:2" ht="16">
      <c r="B53" s="45" t="s">
        <v>100</v>
      </c>
    </row>
    <row r="54" spans="2:2" ht="16">
      <c r="B54" s="47" t="s">
        <v>101</v>
      </c>
    </row>
    <row r="55" spans="2:2" ht="16">
      <c r="B55" s="47" t="s">
        <v>102</v>
      </c>
    </row>
    <row r="56" spans="2:2" ht="16">
      <c r="B56" s="47" t="s">
        <v>103</v>
      </c>
    </row>
    <row r="57" spans="2:2" ht="16">
      <c r="B57" s="47" t="s">
        <v>104</v>
      </c>
    </row>
    <row r="58" spans="2:2" ht="16">
      <c r="B58" s="47" t="s">
        <v>105</v>
      </c>
    </row>
    <row r="59" spans="2:2" ht="16">
      <c r="B59" s="47" t="s">
        <v>106</v>
      </c>
    </row>
    <row r="60" spans="2:2" ht="16">
      <c r="B60" s="47" t="s">
        <v>107</v>
      </c>
    </row>
    <row r="61" spans="2:2" ht="16">
      <c r="B61" s="47" t="s">
        <v>108</v>
      </c>
    </row>
    <row r="62" spans="2:2" ht="16">
      <c r="B62" s="47" t="s">
        <v>109</v>
      </c>
    </row>
    <row r="63" spans="2:2" ht="16">
      <c r="B63" s="47" t="s">
        <v>110</v>
      </c>
    </row>
    <row r="64" spans="2:2" ht="16">
      <c r="B64" s="47" t="s">
        <v>111</v>
      </c>
    </row>
    <row r="65" spans="2:2" ht="16">
      <c r="B65" s="47" t="s">
        <v>112</v>
      </c>
    </row>
    <row r="66" spans="2:2" ht="16">
      <c r="B66" s="47" t="s">
        <v>113</v>
      </c>
    </row>
    <row r="67" spans="2:2" ht="16">
      <c r="B67" s="47" t="s">
        <v>114</v>
      </c>
    </row>
    <row r="68" spans="2:2" ht="16">
      <c r="B68" s="47" t="s">
        <v>115</v>
      </c>
    </row>
    <row r="69" spans="2:2" ht="16">
      <c r="B69" s="47" t="s">
        <v>116</v>
      </c>
    </row>
    <row r="70" spans="2:2" ht="16">
      <c r="B70" s="47" t="s">
        <v>117</v>
      </c>
    </row>
    <row r="71" spans="2:2" ht="16">
      <c r="B71" s="47" t="s">
        <v>118</v>
      </c>
    </row>
    <row r="72" spans="2:2" ht="16">
      <c r="B72" s="47" t="s">
        <v>119</v>
      </c>
    </row>
    <row r="73" spans="2:2" ht="16">
      <c r="B73" s="46"/>
    </row>
    <row r="74" spans="2:2" ht="16">
      <c r="B74" s="46"/>
    </row>
    <row r="75" spans="2:2" ht="16">
      <c r="B75" s="46"/>
    </row>
    <row r="76" spans="2:2" ht="16">
      <c r="B76" s="46"/>
    </row>
    <row r="77" spans="2:2" ht="16">
      <c r="B77" s="46"/>
    </row>
    <row r="78" spans="2:2" ht="16">
      <c r="B78" s="46"/>
    </row>
    <row r="79" spans="2:2" ht="16">
      <c r="B79" s="46"/>
    </row>
    <row r="80" spans="2:2" ht="16">
      <c r="B80" s="45" t="s">
        <v>120</v>
      </c>
    </row>
    <row r="81" spans="2:2" ht="16">
      <c r="B81" s="46" t="s">
        <v>121</v>
      </c>
    </row>
    <row r="82" spans="2:2" ht="16">
      <c r="B82" s="47" t="s">
        <v>122</v>
      </c>
    </row>
    <row r="83" spans="2:2" ht="16">
      <c r="B83" s="47" t="s">
        <v>123</v>
      </c>
    </row>
    <row r="84" spans="2:2" ht="16">
      <c r="B84" s="47" t="s">
        <v>124</v>
      </c>
    </row>
    <row r="85" spans="2:2" ht="16">
      <c r="B85" s="47" t="s">
        <v>125</v>
      </c>
    </row>
    <row r="86" spans="2:2" ht="16">
      <c r="B86" s="47" t="s">
        <v>126</v>
      </c>
    </row>
    <row r="87" spans="2:2" ht="16">
      <c r="B87" s="47" t="s">
        <v>127</v>
      </c>
    </row>
    <row r="88" spans="2:2" ht="16">
      <c r="B88" s="47" t="s">
        <v>128</v>
      </c>
    </row>
    <row r="89" spans="2:2" ht="16">
      <c r="B89" s="47" t="s">
        <v>129</v>
      </c>
    </row>
    <row r="90" spans="2:2" ht="16">
      <c r="B90" s="47" t="s">
        <v>130</v>
      </c>
    </row>
    <row r="91" spans="2:2" ht="16">
      <c r="B91" s="47" t="s">
        <v>131</v>
      </c>
    </row>
    <row r="92" spans="2:2" ht="16">
      <c r="B92" s="47" t="s">
        <v>132</v>
      </c>
    </row>
    <row r="93" spans="2:2" ht="16">
      <c r="B93" s="45"/>
    </row>
    <row r="94" spans="2:2" ht="16">
      <c r="B94" s="45" t="s">
        <v>133</v>
      </c>
    </row>
    <row r="95" spans="2:2" ht="16">
      <c r="B95" s="46" t="s">
        <v>134</v>
      </c>
    </row>
    <row r="96" spans="2:2" ht="16">
      <c r="B96" s="47" t="s">
        <v>135</v>
      </c>
    </row>
    <row r="97" spans="2:2" ht="16">
      <c r="B97" s="47" t="s">
        <v>136</v>
      </c>
    </row>
    <row r="98" spans="2:2" ht="16">
      <c r="B98" s="47" t="s">
        <v>137</v>
      </c>
    </row>
    <row r="99" spans="2:2" ht="16">
      <c r="B99" s="47" t="s">
        <v>138</v>
      </c>
    </row>
    <row r="100" spans="2:2" ht="16">
      <c r="B100" s="47" t="s">
        <v>139</v>
      </c>
    </row>
    <row r="101" spans="2:2" ht="16">
      <c r="B101" s="47" t="s">
        <v>140</v>
      </c>
    </row>
    <row r="102" spans="2:2" ht="16">
      <c r="B102" s="47" t="s">
        <v>141</v>
      </c>
    </row>
    <row r="103" spans="2:2" ht="16">
      <c r="B103" s="47" t="s">
        <v>142</v>
      </c>
    </row>
    <row r="104" spans="2:2" ht="16">
      <c r="B104" s="47" t="s">
        <v>143</v>
      </c>
    </row>
    <row r="105" spans="2:2" ht="16">
      <c r="B105" s="47" t="s">
        <v>144</v>
      </c>
    </row>
    <row r="106" spans="2:2" ht="16">
      <c r="B106" s="47" t="s">
        <v>145</v>
      </c>
    </row>
    <row r="107" spans="2:2" ht="16">
      <c r="B107" s="46"/>
    </row>
    <row r="108" spans="2:2" ht="16">
      <c r="B108" s="46"/>
    </row>
    <row r="109" spans="2:2" ht="16">
      <c r="B109" s="46"/>
    </row>
    <row r="110" spans="2:2" ht="16">
      <c r="B110" s="46"/>
    </row>
    <row r="111" spans="2:2" ht="16">
      <c r="B111" s="46"/>
    </row>
    <row r="112" spans="2:2" ht="16">
      <c r="B112" s="46"/>
    </row>
    <row r="113" spans="2:2" ht="16">
      <c r="B113" s="46"/>
    </row>
    <row r="114" spans="2:2" ht="16">
      <c r="B114" s="46"/>
    </row>
    <row r="115" spans="2:2" ht="16">
      <c r="B115" s="46"/>
    </row>
    <row r="118" spans="2:2" ht="16">
      <c r="B118" s="45" t="s">
        <v>146</v>
      </c>
    </row>
    <row r="119" spans="2:2" ht="16">
      <c r="B119" s="45" t="s">
        <v>147</v>
      </c>
    </row>
    <row r="120" spans="2:2" ht="16">
      <c r="B120" s="46"/>
    </row>
    <row r="121" spans="2:2" ht="17.5">
      <c r="B121" s="49" t="s">
        <v>148</v>
      </c>
    </row>
    <row r="122" spans="2:2" ht="17.5">
      <c r="B122" s="49" t="s">
        <v>149</v>
      </c>
    </row>
    <row r="123" spans="2:2" ht="17.5">
      <c r="B123" s="49" t="s">
        <v>150</v>
      </c>
    </row>
    <row r="124" spans="2:2" ht="17.5">
      <c r="B124" s="49" t="s">
        <v>151</v>
      </c>
    </row>
    <row r="125" spans="2:2" ht="17.5">
      <c r="B125" s="49" t="s">
        <v>152</v>
      </c>
    </row>
    <row r="126" spans="2:2" ht="17.5">
      <c r="B126" s="49" t="s">
        <v>153</v>
      </c>
    </row>
    <row r="127" spans="2:2" ht="17.5">
      <c r="B127" s="49" t="s">
        <v>154</v>
      </c>
    </row>
    <row r="128" spans="2:2" ht="16">
      <c r="B128" s="46" t="s">
        <v>155</v>
      </c>
    </row>
    <row r="129" spans="2:2" ht="16">
      <c r="B129" s="46" t="s">
        <v>156</v>
      </c>
    </row>
    <row r="130" spans="2:2" ht="16">
      <c r="B130" s="4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ABA5-F27B-4475-B702-04749B18CCA4}">
  <dimension ref="C2:G30"/>
  <sheetViews>
    <sheetView topLeftCell="D1" zoomScaleNormal="100" workbookViewId="0">
      <selection activeCell="F53" sqref="F53"/>
    </sheetView>
  </sheetViews>
  <sheetFormatPr defaultRowHeight="14.5"/>
  <cols>
    <col min="1" max="1" width="19.81640625" bestFit="1" customWidth="1"/>
    <col min="2" max="2" width="21.26953125" customWidth="1"/>
    <col min="3" max="3" width="24.453125" customWidth="1"/>
    <col min="4" max="4" width="17.1796875" customWidth="1"/>
    <col min="5" max="5" width="28.453125" customWidth="1"/>
    <col min="6" max="6" width="29" customWidth="1"/>
    <col min="7" max="7" width="27.7265625" customWidth="1"/>
    <col min="8" max="8" width="28.1796875" customWidth="1"/>
    <col min="9" max="9" width="24.453125" customWidth="1"/>
    <col min="10" max="10" width="19.81640625" customWidth="1"/>
    <col min="11" max="11" width="24.1796875" customWidth="1"/>
    <col min="12" max="12" width="16.1796875" customWidth="1"/>
    <col min="13" max="13" width="25.7265625" customWidth="1"/>
  </cols>
  <sheetData>
    <row r="2" spans="3:7" s="34" customFormat="1" ht="16"/>
    <row r="3" spans="3:7" s="34" customFormat="1" ht="26.25" customHeight="1">
      <c r="E3" s="71" t="s">
        <v>58</v>
      </c>
      <c r="F3" s="71"/>
    </row>
    <row r="4" spans="3:7" s="34" customFormat="1" ht="26.25" customHeight="1">
      <c r="C4" s="34" t="s">
        <v>57</v>
      </c>
      <c r="E4" s="72" t="s">
        <v>42</v>
      </c>
      <c r="F4" s="73"/>
    </row>
    <row r="5" spans="3:7" s="31" customFormat="1" ht="16">
      <c r="E5" s="35" t="s">
        <v>34</v>
      </c>
      <c r="F5" s="36">
        <v>40000</v>
      </c>
    </row>
    <row r="6" spans="3:7" s="31" customFormat="1" ht="16">
      <c r="E6" s="35" t="s">
        <v>35</v>
      </c>
      <c r="F6" s="37">
        <v>1000</v>
      </c>
    </row>
    <row r="7" spans="3:7" s="31" customFormat="1" ht="16">
      <c r="E7" s="35" t="s">
        <v>36</v>
      </c>
      <c r="F7" s="37">
        <v>500</v>
      </c>
    </row>
    <row r="8" spans="3:7" s="31" customFormat="1" ht="16">
      <c r="E8" s="35" t="s">
        <v>37</v>
      </c>
      <c r="F8" s="37">
        <v>500</v>
      </c>
    </row>
    <row r="9" spans="3:7" s="31" customFormat="1" ht="16">
      <c r="E9" s="35" t="s">
        <v>43</v>
      </c>
      <c r="F9" s="37">
        <v>500</v>
      </c>
    </row>
    <row r="10" spans="3:7" s="31" customFormat="1" ht="16">
      <c r="E10" s="35" t="s">
        <v>39</v>
      </c>
      <c r="F10" s="37">
        <v>0</v>
      </c>
    </row>
    <row r="11" spans="3:7" s="31" customFormat="1" ht="16">
      <c r="E11" s="35" t="s">
        <v>44</v>
      </c>
      <c r="F11" s="37">
        <v>0</v>
      </c>
    </row>
    <row r="12" spans="3:7" s="31" customFormat="1" ht="16">
      <c r="E12" s="35" t="s">
        <v>45</v>
      </c>
      <c r="F12" s="37">
        <v>500</v>
      </c>
    </row>
    <row r="13" spans="3:7" s="31" customFormat="1" ht="16">
      <c r="E13" s="35" t="s">
        <v>46</v>
      </c>
      <c r="F13" s="37"/>
    </row>
    <row r="14" spans="3:7" s="31" customFormat="1" ht="16">
      <c r="E14" s="38"/>
      <c r="F14" s="37"/>
      <c r="G14" s="44" t="s">
        <v>52</v>
      </c>
    </row>
    <row r="15" spans="3:7" s="31" customFormat="1" ht="16">
      <c r="E15" s="39" t="s">
        <v>53</v>
      </c>
      <c r="F15" s="41">
        <f>SUM(F5:F14)</f>
        <v>43000</v>
      </c>
      <c r="G15" s="44">
        <f>F15*12</f>
        <v>516000</v>
      </c>
    </row>
    <row r="16" spans="3:7" s="31" customFormat="1" ht="16">
      <c r="E16" s="38"/>
      <c r="F16" s="37"/>
    </row>
    <row r="17" spans="5:6" s="31" customFormat="1" ht="16">
      <c r="E17" s="72" t="s">
        <v>38</v>
      </c>
      <c r="F17" s="73"/>
    </row>
    <row r="18" spans="5:6" s="31" customFormat="1" ht="16">
      <c r="E18" s="35" t="s">
        <v>40</v>
      </c>
      <c r="F18" s="35">
        <v>200</v>
      </c>
    </row>
    <row r="19" spans="5:6" s="31" customFormat="1" ht="16">
      <c r="E19" s="35" t="s">
        <v>41</v>
      </c>
      <c r="F19" s="35">
        <v>9145</v>
      </c>
    </row>
    <row r="20" spans="5:6" s="31" customFormat="1" ht="16">
      <c r="E20" s="35" t="s">
        <v>47</v>
      </c>
      <c r="F20" s="35">
        <v>200</v>
      </c>
    </row>
    <row r="21" spans="5:6" s="31" customFormat="1" ht="16">
      <c r="E21" s="35" t="s">
        <v>48</v>
      </c>
      <c r="F21" s="35">
        <v>200</v>
      </c>
    </row>
    <row r="22" spans="5:6" s="31" customFormat="1" ht="16">
      <c r="E22" s="35" t="s">
        <v>49</v>
      </c>
      <c r="F22" s="35">
        <v>200</v>
      </c>
    </row>
    <row r="23" spans="5:6" s="31" customFormat="1" ht="16">
      <c r="E23" s="35" t="s">
        <v>50</v>
      </c>
      <c r="F23" s="35">
        <v>200</v>
      </c>
    </row>
    <row r="24" spans="5:6" s="31" customFormat="1" ht="16">
      <c r="E24" s="35" t="s">
        <v>51</v>
      </c>
      <c r="F24" s="35">
        <v>355</v>
      </c>
    </row>
    <row r="25" spans="5:6" s="31" customFormat="1" ht="16">
      <c r="E25" s="35"/>
      <c r="F25" s="35"/>
    </row>
    <row r="26" spans="5:6" s="31" customFormat="1" ht="16">
      <c r="E26" s="40" t="s">
        <v>55</v>
      </c>
      <c r="F26" s="42">
        <f>SUM(F18:F25)</f>
        <v>10500</v>
      </c>
    </row>
    <row r="27" spans="5:6" s="31" customFormat="1" ht="16">
      <c r="E27" s="35"/>
      <c r="F27" s="35"/>
    </row>
    <row r="28" spans="5:6" s="31" customFormat="1" ht="18.5">
      <c r="E28" s="43" t="s">
        <v>54</v>
      </c>
      <c r="F28" s="43">
        <f>F15-F26</f>
        <v>32500</v>
      </c>
    </row>
    <row r="29" spans="5:6" s="34" customFormat="1" ht="16"/>
    <row r="30" spans="5:6" s="34" customFormat="1" ht="16"/>
  </sheetData>
  <mergeCells count="3">
    <mergeCell ref="E3:F3"/>
    <mergeCell ref="E4:F4"/>
    <mergeCell ref="E17:F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1117-2B2B-4747-B630-CDE5FF95094A}">
  <dimension ref="A2:M47"/>
  <sheetViews>
    <sheetView zoomScaleNormal="100" workbookViewId="0">
      <selection activeCell="L3" sqref="B3:M11"/>
    </sheetView>
  </sheetViews>
  <sheetFormatPr defaultRowHeight="14.5"/>
  <cols>
    <col min="1" max="1" width="19.81640625" bestFit="1" customWidth="1"/>
    <col min="2" max="2" width="21.26953125" customWidth="1"/>
    <col min="3" max="3" width="24.453125" customWidth="1"/>
    <col min="4" max="4" width="17.1796875" customWidth="1"/>
    <col min="5" max="5" width="28.453125" customWidth="1"/>
    <col min="6" max="6" width="29" customWidth="1"/>
    <col min="7" max="7" width="27.7265625" customWidth="1"/>
    <col min="8" max="8" width="28.1796875" customWidth="1"/>
    <col min="9" max="9" width="24.453125" customWidth="1"/>
    <col min="10" max="10" width="19.81640625" customWidth="1"/>
    <col min="11" max="11" width="24.1796875" customWidth="1"/>
    <col min="12" max="12" width="16.1796875" customWidth="1"/>
    <col min="13" max="13" width="25.7265625" customWidth="1"/>
  </cols>
  <sheetData>
    <row r="2" spans="1:13" ht="15" thickBot="1"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33" customHeight="1" thickBot="1">
      <c r="A3" s="30" t="s">
        <v>33</v>
      </c>
      <c r="B3" s="75" t="s">
        <v>5</v>
      </c>
      <c r="C3" s="76"/>
      <c r="D3" s="77" t="s">
        <v>1</v>
      </c>
      <c r="E3" s="78"/>
      <c r="F3" s="75" t="s">
        <v>2</v>
      </c>
      <c r="G3" s="76"/>
      <c r="H3" s="77" t="s">
        <v>3</v>
      </c>
      <c r="I3" s="78"/>
      <c r="J3" s="75" t="s">
        <v>4</v>
      </c>
      <c r="K3" s="76"/>
      <c r="L3" s="79" t="s">
        <v>21</v>
      </c>
      <c r="M3" s="80"/>
    </row>
    <row r="4" spans="1:13" ht="71.150000000000006" customHeight="1">
      <c r="A4" s="12" t="s">
        <v>23</v>
      </c>
      <c r="B4" s="13" t="s">
        <v>22</v>
      </c>
      <c r="C4" s="14" t="s">
        <v>29</v>
      </c>
      <c r="D4" s="15" t="s">
        <v>22</v>
      </c>
      <c r="E4" s="16" t="s">
        <v>24</v>
      </c>
      <c r="F4" s="13" t="s">
        <v>22</v>
      </c>
      <c r="G4" s="14" t="s">
        <v>25</v>
      </c>
      <c r="H4" s="15" t="s">
        <v>22</v>
      </c>
      <c r="I4" s="16" t="s">
        <v>26</v>
      </c>
      <c r="J4" s="13" t="s">
        <v>22</v>
      </c>
      <c r="K4" s="14" t="s">
        <v>27</v>
      </c>
      <c r="L4" s="17" t="s">
        <v>22</v>
      </c>
      <c r="M4" s="18" t="s">
        <v>28</v>
      </c>
    </row>
    <row r="5" spans="1:13">
      <c r="A5" s="2">
        <v>0</v>
      </c>
      <c r="B5" s="6" t="s">
        <v>6</v>
      </c>
      <c r="C5" s="7">
        <f>40000*0</f>
        <v>0</v>
      </c>
      <c r="D5" s="4">
        <v>0</v>
      </c>
      <c r="E5" s="9">
        <v>0</v>
      </c>
      <c r="F5" s="8">
        <v>0</v>
      </c>
      <c r="G5" s="7">
        <v>0</v>
      </c>
      <c r="H5" s="4">
        <v>0</v>
      </c>
      <c r="I5" s="9">
        <v>0</v>
      </c>
      <c r="J5" s="8">
        <v>0</v>
      </c>
      <c r="K5" s="7">
        <v>0</v>
      </c>
      <c r="L5" s="10">
        <v>0</v>
      </c>
      <c r="M5" s="1">
        <v>0</v>
      </c>
    </row>
    <row r="6" spans="1:13">
      <c r="A6" s="2">
        <v>0.1</v>
      </c>
      <c r="B6" s="6" t="s">
        <v>7</v>
      </c>
      <c r="C6" s="7">
        <f>(55000-40000)*10%</f>
        <v>1500</v>
      </c>
      <c r="D6" s="5" t="s">
        <v>12</v>
      </c>
      <c r="E6" s="9">
        <f>55000*10%</f>
        <v>5500</v>
      </c>
      <c r="F6" s="8">
        <v>0</v>
      </c>
      <c r="G6" s="7">
        <v>0</v>
      </c>
      <c r="H6" s="4">
        <v>0</v>
      </c>
      <c r="I6" s="9">
        <v>0</v>
      </c>
      <c r="J6" s="8">
        <v>0</v>
      </c>
      <c r="K6" s="7">
        <v>0</v>
      </c>
      <c r="L6" s="10">
        <v>0</v>
      </c>
      <c r="M6" s="1">
        <v>0</v>
      </c>
    </row>
    <row r="7" spans="1:13">
      <c r="A7" s="2">
        <v>0.15</v>
      </c>
      <c r="B7" s="6" t="s">
        <v>8</v>
      </c>
      <c r="C7" s="7">
        <f>(70000-55000)*15%</f>
        <v>2250</v>
      </c>
      <c r="D7" s="5" t="s">
        <v>8</v>
      </c>
      <c r="E7" s="9">
        <f>(70000-55000)*15%</f>
        <v>2250</v>
      </c>
      <c r="F7" s="6" t="s">
        <v>13</v>
      </c>
      <c r="G7" s="7">
        <f>70000*15%</f>
        <v>10500</v>
      </c>
      <c r="H7" s="4">
        <v>0</v>
      </c>
      <c r="I7" s="9">
        <v>0</v>
      </c>
      <c r="J7" s="8">
        <v>0</v>
      </c>
      <c r="K7" s="7">
        <v>0</v>
      </c>
      <c r="L7" s="10">
        <v>0</v>
      </c>
      <c r="M7" s="1">
        <v>0</v>
      </c>
    </row>
    <row r="8" spans="1:13">
      <c r="A8" s="2">
        <v>0.2</v>
      </c>
      <c r="B8" s="6" t="s">
        <v>9</v>
      </c>
      <c r="C8" s="7">
        <f>(200000-70000)*20%</f>
        <v>26000</v>
      </c>
      <c r="D8" s="5" t="s">
        <v>9</v>
      </c>
      <c r="E8" s="9">
        <f>(200000-70000)*20%</f>
        <v>26000</v>
      </c>
      <c r="F8" s="6" t="s">
        <v>9</v>
      </c>
      <c r="G8" s="7">
        <f>(200000-70000)*20%</f>
        <v>26000</v>
      </c>
      <c r="H8" s="5" t="s">
        <v>14</v>
      </c>
      <c r="I8" s="9">
        <f>200000*20%</f>
        <v>40000</v>
      </c>
      <c r="J8" s="8">
        <v>0</v>
      </c>
      <c r="K8" s="7">
        <v>0</v>
      </c>
      <c r="L8" s="10">
        <v>0</v>
      </c>
      <c r="M8" s="1">
        <v>0</v>
      </c>
    </row>
    <row r="9" spans="1:13">
      <c r="A9" s="3">
        <v>0.22500000000000001</v>
      </c>
      <c r="B9" s="6" t="s">
        <v>10</v>
      </c>
      <c r="C9" s="7">
        <f>(400000-200000)*22.5%</f>
        <v>45000</v>
      </c>
      <c r="D9" s="5" t="s">
        <v>10</v>
      </c>
      <c r="E9" s="9">
        <f>(400000-200000)*22.5%</f>
        <v>45000</v>
      </c>
      <c r="F9" s="6" t="s">
        <v>10</v>
      </c>
      <c r="G9" s="7">
        <f>(400000-200000)*22.5%</f>
        <v>45000</v>
      </c>
      <c r="H9" s="5" t="s">
        <v>10</v>
      </c>
      <c r="I9" s="9">
        <f>(400000-200000)*22.5%</f>
        <v>45000</v>
      </c>
      <c r="J9" s="6" t="s">
        <v>15</v>
      </c>
      <c r="K9" s="7">
        <f>400000*22.5%</f>
        <v>90000</v>
      </c>
      <c r="L9" s="10">
        <v>0</v>
      </c>
      <c r="M9" s="1">
        <v>0</v>
      </c>
    </row>
    <row r="10" spans="1:13" ht="29">
      <c r="A10" s="2">
        <v>0.25</v>
      </c>
      <c r="B10" s="6" t="s">
        <v>11</v>
      </c>
      <c r="C10" s="7">
        <f>(540000-400000)*25%</f>
        <v>35000</v>
      </c>
      <c r="D10" s="5" t="s">
        <v>16</v>
      </c>
      <c r="E10" s="9">
        <f>(660000-400000)*25%</f>
        <v>65000</v>
      </c>
      <c r="F10" s="6" t="s">
        <v>17</v>
      </c>
      <c r="G10" s="7">
        <f>(780000-400000)*25%</f>
        <v>95000</v>
      </c>
      <c r="H10" s="5" t="s">
        <v>18</v>
      </c>
      <c r="I10" s="9">
        <f>(840000-400000)*25%</f>
        <v>110000</v>
      </c>
      <c r="J10" s="6" t="s">
        <v>19</v>
      </c>
      <c r="K10" s="7">
        <f>(1080000-400000)*25%</f>
        <v>170000</v>
      </c>
      <c r="L10" s="11" t="s">
        <v>20</v>
      </c>
      <c r="M10" s="1">
        <f>1200000*25%</f>
        <v>300000</v>
      </c>
    </row>
    <row r="11" spans="1:13" ht="29">
      <c r="A11" s="3">
        <v>0.27500000000000002</v>
      </c>
      <c r="B11" s="8">
        <v>0</v>
      </c>
      <c r="C11" s="7">
        <v>0</v>
      </c>
      <c r="D11" s="4">
        <v>0</v>
      </c>
      <c r="E11" s="9">
        <v>0</v>
      </c>
      <c r="F11" s="8">
        <v>0</v>
      </c>
      <c r="G11" s="7">
        <v>0</v>
      </c>
      <c r="H11" s="4">
        <v>0</v>
      </c>
      <c r="I11" s="9">
        <v>0</v>
      </c>
      <c r="J11" s="8">
        <v>0</v>
      </c>
      <c r="K11" s="7">
        <v>0</v>
      </c>
      <c r="L11" s="11" t="s">
        <v>21</v>
      </c>
      <c r="M11" s="1">
        <f>(1320000-1200000)*27.5%</f>
        <v>33000</v>
      </c>
    </row>
    <row r="12" spans="1:13" s="24" customFormat="1" ht="25.5" customHeight="1">
      <c r="A12" s="19" t="s">
        <v>30</v>
      </c>
      <c r="B12" s="20"/>
      <c r="C12" s="21">
        <f>SUM(C5:C11)</f>
        <v>109750</v>
      </c>
      <c r="D12" s="22"/>
      <c r="E12" s="23">
        <f>SUM(E5:E11)</f>
        <v>143750</v>
      </c>
      <c r="F12" s="20"/>
      <c r="G12" s="21">
        <f>SUM(G5:G11)</f>
        <v>176500</v>
      </c>
      <c r="H12" s="22"/>
      <c r="I12" s="23">
        <f>SUM(I5:I11)</f>
        <v>195000</v>
      </c>
      <c r="J12" s="20"/>
      <c r="K12" s="21">
        <f>SUM(K5:K11)</f>
        <v>260000</v>
      </c>
      <c r="L12" s="20"/>
      <c r="M12" s="21">
        <f>SUM(M5:M11)</f>
        <v>333000</v>
      </c>
    </row>
    <row r="13" spans="1:13" s="24" customFormat="1" ht="25.5" customHeight="1" thickBot="1">
      <c r="A13" s="25" t="s">
        <v>31</v>
      </c>
      <c r="B13" s="26"/>
      <c r="C13" s="27">
        <f>C12/12</f>
        <v>9145.8333333333339</v>
      </c>
      <c r="D13" s="28"/>
      <c r="E13" s="29">
        <f>E12/12</f>
        <v>11979.166666666666</v>
      </c>
      <c r="F13" s="26"/>
      <c r="G13" s="27">
        <f>G12/12</f>
        <v>14708.333333333334</v>
      </c>
      <c r="H13" s="28"/>
      <c r="I13" s="29">
        <f>I12/12</f>
        <v>16250</v>
      </c>
      <c r="J13" s="26"/>
      <c r="K13" s="27">
        <f>K12/12</f>
        <v>21666.666666666668</v>
      </c>
      <c r="L13" s="26"/>
      <c r="M13" s="27">
        <f>M12/12</f>
        <v>27750</v>
      </c>
    </row>
    <row r="14" spans="1:13" s="24" customFormat="1" ht="25.5" customHeight="1"/>
    <row r="15" spans="1:13" s="33" customFormat="1" ht="23.5">
      <c r="A15" s="32" t="s">
        <v>32</v>
      </c>
    </row>
    <row r="19" spans="3:7" s="34" customFormat="1" ht="16"/>
    <row r="20" spans="3:7" s="34" customFormat="1" ht="26.25" customHeight="1">
      <c r="E20" s="71" t="s">
        <v>58</v>
      </c>
      <c r="F20" s="71"/>
    </row>
    <row r="21" spans="3:7" s="34" customFormat="1" ht="26.25" customHeight="1">
      <c r="C21" s="34" t="s">
        <v>57</v>
      </c>
      <c r="E21" s="72" t="s">
        <v>42</v>
      </c>
      <c r="F21" s="73"/>
    </row>
    <row r="22" spans="3:7" s="31" customFormat="1" ht="16">
      <c r="E22" s="35" t="s">
        <v>34</v>
      </c>
      <c r="F22" s="36">
        <v>40000</v>
      </c>
    </row>
    <row r="23" spans="3:7" s="31" customFormat="1" ht="16">
      <c r="E23" s="35" t="s">
        <v>35</v>
      </c>
      <c r="F23" s="37">
        <v>1000</v>
      </c>
    </row>
    <row r="24" spans="3:7" s="31" customFormat="1" ht="16">
      <c r="E24" s="35" t="s">
        <v>36</v>
      </c>
      <c r="F24" s="37">
        <v>500</v>
      </c>
    </row>
    <row r="25" spans="3:7" s="31" customFormat="1" ht="16">
      <c r="E25" s="35" t="s">
        <v>37</v>
      </c>
      <c r="F25" s="37">
        <v>500</v>
      </c>
    </row>
    <row r="26" spans="3:7" s="31" customFormat="1" ht="16">
      <c r="E26" s="35" t="s">
        <v>43</v>
      </c>
      <c r="F26" s="37">
        <v>500</v>
      </c>
    </row>
    <row r="27" spans="3:7" s="31" customFormat="1" ht="16">
      <c r="E27" s="35" t="s">
        <v>39</v>
      </c>
      <c r="F27" s="37">
        <v>0</v>
      </c>
    </row>
    <row r="28" spans="3:7" s="31" customFormat="1" ht="16">
      <c r="E28" s="35" t="s">
        <v>44</v>
      </c>
      <c r="F28" s="37">
        <v>0</v>
      </c>
    </row>
    <row r="29" spans="3:7" s="31" customFormat="1" ht="16">
      <c r="E29" s="35" t="s">
        <v>45</v>
      </c>
      <c r="F29" s="37">
        <v>500</v>
      </c>
    </row>
    <row r="30" spans="3:7" s="31" customFormat="1" ht="16">
      <c r="E30" s="35" t="s">
        <v>46</v>
      </c>
      <c r="F30" s="37"/>
    </row>
    <row r="31" spans="3:7" s="31" customFormat="1" ht="16">
      <c r="E31" s="38"/>
      <c r="F31" s="37"/>
      <c r="G31" s="44" t="s">
        <v>52</v>
      </c>
    </row>
    <row r="32" spans="3:7" s="31" customFormat="1" ht="16">
      <c r="E32" s="39" t="s">
        <v>53</v>
      </c>
      <c r="F32" s="41">
        <f>SUM(F22:F31)</f>
        <v>43000</v>
      </c>
      <c r="G32" s="44">
        <f>F32*12</f>
        <v>516000</v>
      </c>
    </row>
    <row r="33" spans="5:6" s="31" customFormat="1" ht="16">
      <c r="E33" s="38"/>
      <c r="F33" s="37"/>
    </row>
    <row r="34" spans="5:6" s="31" customFormat="1" ht="16">
      <c r="E34" s="72" t="s">
        <v>38</v>
      </c>
      <c r="F34" s="73"/>
    </row>
    <row r="35" spans="5:6" s="31" customFormat="1" ht="16">
      <c r="E35" s="35" t="s">
        <v>40</v>
      </c>
      <c r="F35" s="35">
        <v>200</v>
      </c>
    </row>
    <row r="36" spans="5:6" s="31" customFormat="1" ht="16">
      <c r="E36" s="35" t="s">
        <v>41</v>
      </c>
      <c r="F36" s="35">
        <v>9145</v>
      </c>
    </row>
    <row r="37" spans="5:6" s="31" customFormat="1" ht="16">
      <c r="E37" s="35" t="s">
        <v>47</v>
      </c>
      <c r="F37" s="35">
        <v>200</v>
      </c>
    </row>
    <row r="38" spans="5:6" s="31" customFormat="1" ht="16">
      <c r="E38" s="35" t="s">
        <v>48</v>
      </c>
      <c r="F38" s="35">
        <v>200</v>
      </c>
    </row>
    <row r="39" spans="5:6" s="31" customFormat="1" ht="16">
      <c r="E39" s="35" t="s">
        <v>49</v>
      </c>
      <c r="F39" s="35">
        <v>200</v>
      </c>
    </row>
    <row r="40" spans="5:6" s="31" customFormat="1" ht="16">
      <c r="E40" s="35" t="s">
        <v>50</v>
      </c>
      <c r="F40" s="35">
        <v>200</v>
      </c>
    </row>
    <row r="41" spans="5:6" s="31" customFormat="1" ht="16">
      <c r="E41" s="35" t="s">
        <v>51</v>
      </c>
      <c r="F41" s="35">
        <v>355</v>
      </c>
    </row>
    <row r="42" spans="5:6" s="31" customFormat="1" ht="16">
      <c r="E42" s="35"/>
      <c r="F42" s="35"/>
    </row>
    <row r="43" spans="5:6" s="31" customFormat="1" ht="16">
      <c r="E43" s="40" t="s">
        <v>55</v>
      </c>
      <c r="F43" s="42">
        <f>SUM(F35:F42)</f>
        <v>10500</v>
      </c>
    </row>
    <row r="44" spans="5:6" s="31" customFormat="1" ht="16">
      <c r="E44" s="35"/>
      <c r="F44" s="35"/>
    </row>
    <row r="45" spans="5:6" s="31" customFormat="1" ht="18.5">
      <c r="E45" s="43" t="s">
        <v>54</v>
      </c>
      <c r="F45" s="43">
        <f>F32-F43</f>
        <v>32500</v>
      </c>
    </row>
    <row r="46" spans="5:6" s="34" customFormat="1" ht="16"/>
    <row r="47" spans="5:6" s="34" customFormat="1" ht="16"/>
  </sheetData>
  <mergeCells count="10">
    <mergeCell ref="E20:F20"/>
    <mergeCell ref="E21:F21"/>
    <mergeCell ref="E34:F34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753F-7AC1-409C-8DC8-8B8A8587DE31}">
  <dimension ref="A1:G53"/>
  <sheetViews>
    <sheetView topLeftCell="A34" zoomScale="136" workbookViewId="0">
      <selection activeCell="C44" sqref="C44"/>
    </sheetView>
  </sheetViews>
  <sheetFormatPr defaultRowHeight="14.5"/>
  <cols>
    <col min="1" max="1" width="35.54296875" customWidth="1"/>
    <col min="2" max="2" width="30" style="52" customWidth="1"/>
    <col min="3" max="3" width="44.7265625" customWidth="1"/>
    <col min="4" max="4" width="19.54296875" bestFit="1" customWidth="1"/>
    <col min="5" max="5" width="11.1796875" bestFit="1" customWidth="1"/>
    <col min="6" max="6" width="42.453125" customWidth="1"/>
    <col min="7" max="7" width="32.81640625" customWidth="1"/>
  </cols>
  <sheetData>
    <row r="1" spans="1:3" ht="16">
      <c r="A1" s="50" t="s">
        <v>157</v>
      </c>
      <c r="B1" s="51" t="s">
        <v>158</v>
      </c>
    </row>
    <row r="2" spans="1:3">
      <c r="A2" t="s">
        <v>42</v>
      </c>
    </row>
    <row r="3" spans="1:3">
      <c r="A3" t="s">
        <v>34</v>
      </c>
      <c r="B3" s="52">
        <v>40000</v>
      </c>
    </row>
    <row r="4" spans="1:3">
      <c r="A4" t="s">
        <v>35</v>
      </c>
      <c r="B4" s="52">
        <v>1000</v>
      </c>
    </row>
    <row r="5" spans="1:3">
      <c r="A5" t="s">
        <v>159</v>
      </c>
      <c r="B5" s="52">
        <v>500</v>
      </c>
    </row>
    <row r="6" spans="1:3">
      <c r="A6" t="s">
        <v>160</v>
      </c>
      <c r="B6" s="52">
        <v>500</v>
      </c>
    </row>
    <row r="7" spans="1:3">
      <c r="A7" t="s">
        <v>43</v>
      </c>
      <c r="B7" s="52">
        <v>500</v>
      </c>
    </row>
    <row r="8" spans="1:3">
      <c r="A8" t="s">
        <v>39</v>
      </c>
      <c r="B8" s="52">
        <v>500</v>
      </c>
    </row>
    <row r="9" spans="1:3">
      <c r="A9" t="s">
        <v>161</v>
      </c>
      <c r="B9" s="52">
        <v>500</v>
      </c>
    </row>
    <row r="10" spans="1:3">
      <c r="A10" t="s">
        <v>162</v>
      </c>
      <c r="B10" s="52">
        <v>500</v>
      </c>
    </row>
    <row r="11" spans="1:3">
      <c r="A11" t="s">
        <v>163</v>
      </c>
      <c r="B11" s="52">
        <v>500</v>
      </c>
    </row>
    <row r="12" spans="1:3">
      <c r="B12" s="52">
        <v>500</v>
      </c>
    </row>
    <row r="14" spans="1:3">
      <c r="A14" t="s">
        <v>164</v>
      </c>
      <c r="B14" s="52">
        <f>SUM(B3:B13)</f>
        <v>45000</v>
      </c>
      <c r="C14" s="53" t="s">
        <v>165</v>
      </c>
    </row>
    <row r="16" spans="1:3">
      <c r="A16" s="54" t="s">
        <v>38</v>
      </c>
    </row>
    <row r="17" spans="1:7">
      <c r="A17" t="s">
        <v>40</v>
      </c>
      <c r="B17" s="52">
        <v>200</v>
      </c>
      <c r="C17" t="s">
        <v>166</v>
      </c>
    </row>
    <row r="19" spans="1:7">
      <c r="A19" t="s">
        <v>47</v>
      </c>
      <c r="B19" s="55">
        <v>200</v>
      </c>
      <c r="C19" t="s">
        <v>167</v>
      </c>
      <c r="D19" s="70" t="s">
        <v>168</v>
      </c>
    </row>
    <row r="20" spans="1:7">
      <c r="A20" t="s">
        <v>169</v>
      </c>
      <c r="B20" s="55">
        <v>200</v>
      </c>
      <c r="C20" t="s">
        <v>167</v>
      </c>
      <c r="D20" s="70"/>
    </row>
    <row r="21" spans="1:7">
      <c r="A21" t="s">
        <v>170</v>
      </c>
      <c r="B21" s="55">
        <v>200</v>
      </c>
      <c r="C21" t="s">
        <v>167</v>
      </c>
      <c r="D21" s="70"/>
    </row>
    <row r="22" spans="1:7">
      <c r="A22" t="s">
        <v>171</v>
      </c>
      <c r="B22" s="55">
        <v>200</v>
      </c>
      <c r="C22" t="s">
        <v>167</v>
      </c>
      <c r="D22" s="70"/>
    </row>
    <row r="23" spans="1:7">
      <c r="A23" t="s">
        <v>172</v>
      </c>
      <c r="B23" s="55">
        <v>355</v>
      </c>
      <c r="C23" t="s">
        <v>167</v>
      </c>
      <c r="D23" s="70"/>
    </row>
    <row r="25" spans="1:7">
      <c r="A25" t="s">
        <v>55</v>
      </c>
      <c r="B25" s="55">
        <f>B19+B20+B21+B22+B23</f>
        <v>1155</v>
      </c>
    </row>
    <row r="27" spans="1:7">
      <c r="A27" t="s">
        <v>173</v>
      </c>
      <c r="B27" s="52">
        <f>B14-B25</f>
        <v>43845</v>
      </c>
    </row>
    <row r="29" spans="1:7">
      <c r="A29" s="54" t="s">
        <v>174</v>
      </c>
    </row>
    <row r="30" spans="1:7">
      <c r="A30" s="56" t="s">
        <v>175</v>
      </c>
      <c r="B30" s="57">
        <f>20000/12</f>
        <v>1666.6666666666667</v>
      </c>
      <c r="C30" s="56" t="s">
        <v>176</v>
      </c>
    </row>
    <row r="31" spans="1:7">
      <c r="A31" s="56" t="s">
        <v>177</v>
      </c>
      <c r="B31" s="57">
        <f>16700*11%</f>
        <v>1837</v>
      </c>
      <c r="C31" s="56" t="s">
        <v>178</v>
      </c>
      <c r="D31" t="s">
        <v>179</v>
      </c>
      <c r="F31" t="s">
        <v>180</v>
      </c>
      <c r="G31" t="s">
        <v>181</v>
      </c>
    </row>
    <row r="32" spans="1:7">
      <c r="A32" s="56"/>
      <c r="B32" s="57"/>
      <c r="C32" s="56"/>
    </row>
    <row r="33" spans="1:3">
      <c r="A33" s="56"/>
      <c r="B33" s="57"/>
      <c r="C33" s="56"/>
    </row>
    <row r="34" spans="1:3">
      <c r="A34" s="56"/>
      <c r="B34" s="57"/>
      <c r="C34" s="56"/>
    </row>
    <row r="35" spans="1:3">
      <c r="A35" t="s">
        <v>182</v>
      </c>
      <c r="B35" s="52">
        <f>B27-B30-B31</f>
        <v>40341.333333333336</v>
      </c>
    </row>
    <row r="40" spans="1:3">
      <c r="A40" t="s">
        <v>186</v>
      </c>
      <c r="C40" s="58">
        <f>B35*12</f>
        <v>484096</v>
      </c>
    </row>
    <row r="41" spans="1:3">
      <c r="A41" s="59" t="s">
        <v>6</v>
      </c>
      <c r="B41" s="60">
        <v>0</v>
      </c>
      <c r="C41" s="61">
        <f>40000*0</f>
        <v>0</v>
      </c>
    </row>
    <row r="42" spans="1:3">
      <c r="A42" s="59" t="s">
        <v>7</v>
      </c>
      <c r="B42" s="60">
        <v>0.1</v>
      </c>
      <c r="C42" s="61">
        <f>(55000-40000)*10%</f>
        <v>1500</v>
      </c>
    </row>
    <row r="43" spans="1:3">
      <c r="A43" s="59" t="s">
        <v>8</v>
      </c>
      <c r="B43" s="60">
        <v>0.15</v>
      </c>
      <c r="C43" s="61">
        <f>(70000-55000)*15%</f>
        <v>2250</v>
      </c>
    </row>
    <row r="44" spans="1:3">
      <c r="A44" s="59" t="s">
        <v>9</v>
      </c>
      <c r="B44" s="60">
        <v>0.2</v>
      </c>
      <c r="C44" s="61">
        <f>(200000-70000)*20%</f>
        <v>26000</v>
      </c>
    </row>
    <row r="45" spans="1:3">
      <c r="A45" s="59" t="s">
        <v>10</v>
      </c>
      <c r="B45" s="62">
        <v>0.22500000000000001</v>
      </c>
      <c r="C45" s="61">
        <f>(400000-200000)*22.5%</f>
        <v>45000</v>
      </c>
    </row>
    <row r="46" spans="1:3">
      <c r="A46" s="63" t="s">
        <v>183</v>
      </c>
      <c r="B46" s="60">
        <v>0.25</v>
      </c>
      <c r="C46" s="61">
        <f>(484096-400000)*25%</f>
        <v>21024</v>
      </c>
    </row>
    <row r="47" spans="1:3">
      <c r="A47" s="64" t="s">
        <v>30</v>
      </c>
      <c r="B47" s="65"/>
      <c r="C47" s="66">
        <f>SUM(C41:C46)</f>
        <v>95774</v>
      </c>
    </row>
    <row r="48" spans="1:3">
      <c r="A48" s="64" t="s">
        <v>31</v>
      </c>
      <c r="B48" s="65"/>
      <c r="C48" s="66">
        <f>C47/12</f>
        <v>7981.166666666667</v>
      </c>
    </row>
    <row r="50" spans="1:2" ht="18.5">
      <c r="A50" s="67" t="s">
        <v>184</v>
      </c>
      <c r="B50" s="68">
        <f>B27-C48</f>
        <v>35863.833333333336</v>
      </c>
    </row>
    <row r="53" spans="1:2" ht="23.5">
      <c r="A53" t="s">
        <v>185</v>
      </c>
      <c r="B53" s="69">
        <f>B50-B17</f>
        <v>35663.833333333336</v>
      </c>
    </row>
  </sheetData>
  <mergeCells count="1">
    <mergeCell ref="D19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A3F4-6008-4BF5-8CDB-C0B112E71967}">
  <dimension ref="A1:G53"/>
  <sheetViews>
    <sheetView tabSelected="1" zoomScale="44" workbookViewId="0">
      <selection sqref="A1:G53"/>
    </sheetView>
  </sheetViews>
  <sheetFormatPr defaultRowHeight="14.5"/>
  <cols>
    <col min="1" max="1" width="35.54296875" customWidth="1"/>
    <col min="2" max="2" width="30" style="52" customWidth="1"/>
    <col min="3" max="3" width="44.7265625" customWidth="1"/>
    <col min="4" max="4" width="19.54296875" bestFit="1" customWidth="1"/>
    <col min="5" max="5" width="11.1796875" bestFit="1" customWidth="1"/>
    <col min="6" max="6" width="42.453125" customWidth="1"/>
    <col min="7" max="7" width="32.81640625" customWidth="1"/>
  </cols>
  <sheetData>
    <row r="1" spans="1:3" ht="16">
      <c r="A1" s="50" t="s">
        <v>157</v>
      </c>
      <c r="B1" s="51" t="s">
        <v>158</v>
      </c>
    </row>
    <row r="2" spans="1:3">
      <c r="A2" t="s">
        <v>42</v>
      </c>
    </row>
    <row r="3" spans="1:3">
      <c r="A3" t="s">
        <v>34</v>
      </c>
      <c r="B3" s="52">
        <v>12000</v>
      </c>
    </row>
    <row r="4" spans="1:3">
      <c r="A4" t="s">
        <v>35</v>
      </c>
      <c r="B4" s="52">
        <v>1000</v>
      </c>
    </row>
    <row r="5" spans="1:3">
      <c r="A5" t="s">
        <v>159</v>
      </c>
      <c r="B5" s="52">
        <v>500</v>
      </c>
    </row>
    <row r="6" spans="1:3">
      <c r="A6" t="s">
        <v>160</v>
      </c>
      <c r="B6" s="52">
        <v>500</v>
      </c>
    </row>
    <row r="7" spans="1:3">
      <c r="A7" t="s">
        <v>43</v>
      </c>
      <c r="B7" s="52">
        <v>500</v>
      </c>
    </row>
    <row r="8" spans="1:3">
      <c r="A8" t="s">
        <v>39</v>
      </c>
      <c r="B8" s="52">
        <v>500</v>
      </c>
    </row>
    <row r="9" spans="1:3">
      <c r="A9" t="s">
        <v>161</v>
      </c>
      <c r="B9" s="52">
        <v>500</v>
      </c>
    </row>
    <row r="10" spans="1:3">
      <c r="A10" t="s">
        <v>162</v>
      </c>
      <c r="B10" s="52">
        <v>500</v>
      </c>
    </row>
    <row r="11" spans="1:3">
      <c r="A11" t="s">
        <v>163</v>
      </c>
      <c r="B11" s="52">
        <v>500</v>
      </c>
    </row>
    <row r="12" spans="1:3">
      <c r="B12" s="52">
        <v>500</v>
      </c>
    </row>
    <row r="14" spans="1:3">
      <c r="A14" t="s">
        <v>164</v>
      </c>
      <c r="B14" s="52">
        <f>SUM(B3:B13)</f>
        <v>17000</v>
      </c>
      <c r="C14" s="53" t="s">
        <v>165</v>
      </c>
    </row>
    <row r="16" spans="1:3">
      <c r="A16" s="54" t="s">
        <v>38</v>
      </c>
    </row>
    <row r="17" spans="1:7">
      <c r="A17" t="s">
        <v>40</v>
      </c>
      <c r="B17" s="52">
        <v>200</v>
      </c>
      <c r="C17" t="s">
        <v>166</v>
      </c>
    </row>
    <row r="19" spans="1:7">
      <c r="A19" t="s">
        <v>47</v>
      </c>
      <c r="B19" s="55">
        <v>200</v>
      </c>
      <c r="C19" t="s">
        <v>167</v>
      </c>
      <c r="D19" s="70" t="s">
        <v>168</v>
      </c>
    </row>
    <row r="20" spans="1:7">
      <c r="A20" t="s">
        <v>169</v>
      </c>
      <c r="B20" s="55">
        <v>200</v>
      </c>
      <c r="C20" t="s">
        <v>167</v>
      </c>
      <c r="D20" s="70"/>
    </row>
    <row r="21" spans="1:7">
      <c r="A21" t="s">
        <v>170</v>
      </c>
      <c r="B21" s="55">
        <v>200</v>
      </c>
      <c r="C21" t="s">
        <v>167</v>
      </c>
      <c r="D21" s="70"/>
    </row>
    <row r="22" spans="1:7">
      <c r="A22" t="s">
        <v>171</v>
      </c>
      <c r="B22" s="55">
        <v>200</v>
      </c>
      <c r="C22" t="s">
        <v>167</v>
      </c>
      <c r="D22" s="70"/>
    </row>
    <row r="23" spans="1:7">
      <c r="A23" t="s">
        <v>172</v>
      </c>
      <c r="B23" s="55">
        <v>355</v>
      </c>
      <c r="C23" t="s">
        <v>167</v>
      </c>
      <c r="D23" s="70"/>
    </row>
    <row r="25" spans="1:7">
      <c r="A25" t="s">
        <v>55</v>
      </c>
      <c r="B25" s="55">
        <f>B19+B20+B21+B22+B23</f>
        <v>1155</v>
      </c>
    </row>
    <row r="27" spans="1:7">
      <c r="A27" t="s">
        <v>173</v>
      </c>
      <c r="B27" s="52">
        <f>B14-B25</f>
        <v>15845</v>
      </c>
    </row>
    <row r="29" spans="1:7">
      <c r="A29" s="54" t="s">
        <v>174</v>
      </c>
    </row>
    <row r="30" spans="1:7">
      <c r="A30" s="56" t="s">
        <v>175</v>
      </c>
      <c r="B30" s="57">
        <f>20000/12</f>
        <v>1666.6666666666667</v>
      </c>
      <c r="C30" s="56" t="s">
        <v>176</v>
      </c>
    </row>
    <row r="31" spans="1:7">
      <c r="A31" s="56" t="s">
        <v>177</v>
      </c>
      <c r="B31" s="57">
        <f>B3*11%</f>
        <v>1320</v>
      </c>
      <c r="C31" s="56" t="s">
        <v>178</v>
      </c>
      <c r="D31" t="s">
        <v>179</v>
      </c>
      <c r="F31" t="s">
        <v>180</v>
      </c>
      <c r="G31" t="s">
        <v>181</v>
      </c>
    </row>
    <row r="32" spans="1:7">
      <c r="A32" s="56"/>
      <c r="B32" s="57"/>
      <c r="C32" s="56"/>
    </row>
    <row r="33" spans="1:3">
      <c r="A33" s="56"/>
      <c r="B33" s="57"/>
      <c r="C33" s="56"/>
    </row>
    <row r="34" spans="1:3">
      <c r="A34" s="56"/>
      <c r="B34" s="57"/>
      <c r="C34" s="56"/>
    </row>
    <row r="35" spans="1:3">
      <c r="A35" t="s">
        <v>182</v>
      </c>
      <c r="B35" s="52">
        <f>B27-B30-B31</f>
        <v>12858.333333333334</v>
      </c>
    </row>
    <row r="40" spans="1:3">
      <c r="A40" t="s">
        <v>186</v>
      </c>
      <c r="C40" s="58">
        <f>B35*12</f>
        <v>154300</v>
      </c>
    </row>
    <row r="41" spans="1:3">
      <c r="A41" s="59" t="s">
        <v>6</v>
      </c>
      <c r="B41" s="60">
        <v>0</v>
      </c>
      <c r="C41" s="61">
        <f>40000*0</f>
        <v>0</v>
      </c>
    </row>
    <row r="42" spans="1:3">
      <c r="A42" s="59" t="s">
        <v>7</v>
      </c>
      <c r="B42" s="60">
        <v>0.1</v>
      </c>
      <c r="C42" s="61">
        <f>(55000-40000)*10%</f>
        <v>1500</v>
      </c>
    </row>
    <row r="43" spans="1:3">
      <c r="A43" s="59" t="s">
        <v>8</v>
      </c>
      <c r="B43" s="60">
        <v>0.15</v>
      </c>
      <c r="C43" s="61">
        <f>(70000-55000)*15%</f>
        <v>2250</v>
      </c>
    </row>
    <row r="44" spans="1:3">
      <c r="A44" s="59" t="s">
        <v>187</v>
      </c>
      <c r="B44" s="60">
        <v>0.2</v>
      </c>
      <c r="C44" s="61">
        <f>(154300-70000)*20%</f>
        <v>16860</v>
      </c>
    </row>
    <row r="45" spans="1:3">
      <c r="A45" s="59"/>
      <c r="B45" s="62"/>
      <c r="C45" s="61"/>
    </row>
    <row r="46" spans="1:3">
      <c r="A46" s="63"/>
      <c r="B46" s="60"/>
      <c r="C46" s="61"/>
    </row>
    <row r="47" spans="1:3">
      <c r="A47" s="64" t="s">
        <v>30</v>
      </c>
      <c r="B47" s="65"/>
      <c r="C47" s="66">
        <f>SUM(C41:C46)</f>
        <v>20610</v>
      </c>
    </row>
    <row r="48" spans="1:3">
      <c r="A48" s="64" t="s">
        <v>31</v>
      </c>
      <c r="B48" s="65"/>
      <c r="C48" s="66">
        <f>C47/12</f>
        <v>1717.5</v>
      </c>
    </row>
    <row r="50" spans="1:2" ht="18.5">
      <c r="A50" s="67" t="s">
        <v>184</v>
      </c>
      <c r="B50" s="68">
        <f>B27-C48</f>
        <v>14127.5</v>
      </c>
    </row>
    <row r="53" spans="1:2" ht="23.5">
      <c r="A53" t="s">
        <v>185</v>
      </c>
      <c r="B53" s="69">
        <f>B50-B17</f>
        <v>13927.5</v>
      </c>
    </row>
  </sheetData>
  <mergeCells count="1">
    <mergeCell ref="D19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information</vt:lpstr>
      <vt:lpstr>Payroll</vt:lpstr>
      <vt:lpstr>Tax slots</vt:lpstr>
      <vt:lpstr>Tax ded formula</vt:lpstr>
      <vt:lpstr>Tax ded formula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Nassar</dc:creator>
  <cp:lastModifiedBy>Amr Syedali</cp:lastModifiedBy>
  <dcterms:created xsi:type="dcterms:W3CDTF">2026-09-14T06:15:33Z</dcterms:created>
  <dcterms:modified xsi:type="dcterms:W3CDTF">2026-09-25T15:28:28Z</dcterms:modified>
</cp:coreProperties>
</file>