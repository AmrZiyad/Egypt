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 Ziyad\Desktop\Egypt\"/>
    </mc:Choice>
  </mc:AlternateContent>
  <xr:revisionPtr revIDLastSave="0" documentId="13_ncr:1_{09C29D7C-6CB9-4038-A547-6F58D906D60E}" xr6:coauthVersionLast="47" xr6:coauthVersionMax="47" xr10:uidLastSave="{00000000-0000-0000-0000-000000000000}"/>
  <bookViews>
    <workbookView xWindow="-110" yWindow="-110" windowWidth="19420" windowHeight="11500" xr2:uid="{8094F684-4179-42E8-9EA5-A2C55FF0F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1" i="1" l="1"/>
  <c r="C13" i="1"/>
  <c r="G77" i="1"/>
  <c r="G66" i="1"/>
  <c r="F30" i="1"/>
  <c r="G30" i="1" s="1"/>
  <c r="B16" i="1" s="1"/>
  <c r="M11" i="1"/>
  <c r="M10" i="1"/>
  <c r="K10" i="1"/>
  <c r="K9" i="1"/>
  <c r="G7" i="1"/>
  <c r="I10" i="1"/>
  <c r="I9" i="1"/>
  <c r="I8" i="1"/>
  <c r="G10" i="1"/>
  <c r="G9" i="1"/>
  <c r="G8" i="1"/>
  <c r="E10" i="1"/>
  <c r="E9" i="1"/>
  <c r="E8" i="1"/>
  <c r="E7" i="1"/>
  <c r="E6" i="1"/>
  <c r="C10" i="1"/>
  <c r="C9" i="1"/>
  <c r="C8" i="1"/>
  <c r="C7" i="1"/>
  <c r="C6" i="1"/>
  <c r="C5" i="1"/>
  <c r="G79" i="1" l="1"/>
  <c r="H66" i="1"/>
  <c r="F43" i="1"/>
  <c r="G12" i="1"/>
  <c r="G13" i="1" s="1"/>
  <c r="M12" i="1"/>
  <c r="M13" i="1" s="1"/>
  <c r="K12" i="1"/>
  <c r="K13" i="1" s="1"/>
  <c r="I12" i="1"/>
  <c r="I13" i="1" s="1"/>
  <c r="E12" i="1"/>
  <c r="E13" i="1" s="1"/>
  <c r="C12" i="1"/>
</calcChain>
</file>

<file path=xl/sharedStrings.xml><?xml version="1.0" encoding="utf-8"?>
<sst xmlns="http://schemas.openxmlformats.org/spreadsheetml/2006/main" count="94" uniqueCount="59">
  <si>
    <t>Annual Tax pool</t>
  </si>
  <si>
    <t>From 600 to 700</t>
  </si>
  <si>
    <t>From 700 to 800</t>
  </si>
  <si>
    <t>From 800 to 900</t>
  </si>
  <si>
    <t>From 900 to 1,2 Million</t>
  </si>
  <si>
    <t>Till 600,000</t>
  </si>
  <si>
    <t>From 1 to 40,000</t>
  </si>
  <si>
    <t>40,000 to 55,000</t>
  </si>
  <si>
    <t>55,000 to 70,000</t>
  </si>
  <si>
    <t>70,000 to 200,000</t>
  </si>
  <si>
    <t>200,000 to 400,000</t>
  </si>
  <si>
    <t>400,000 to 600,000</t>
  </si>
  <si>
    <t>From 1 to 55,000</t>
  </si>
  <si>
    <t>From 1 to 70,000</t>
  </si>
  <si>
    <t>From 1 to 200,000</t>
  </si>
  <si>
    <t>From 1 to 400,000</t>
  </si>
  <si>
    <t>400,000 to 700,000</t>
  </si>
  <si>
    <t>400,000 to 800,000</t>
  </si>
  <si>
    <t>400,000 to 900,000</t>
  </si>
  <si>
    <t>400,000 to 1,200,000</t>
  </si>
  <si>
    <t>From 1 to 1,200,000</t>
  </si>
  <si>
    <t>More than 1,2 Million</t>
  </si>
  <si>
    <t>Brackets</t>
  </si>
  <si>
    <t>Brackets+ Sample for each case</t>
  </si>
  <si>
    <t>Annual tax pool: 660000 (Monthly 55,000)</t>
  </si>
  <si>
    <t>Annual tax pool: 780,000 (Monthly 65,000)</t>
  </si>
  <si>
    <t>Annual tax pool: 840,000 (Monthly 70,000)</t>
  </si>
  <si>
    <t>Annual tax pool: 1,080,000 (Monthly 90,000)</t>
  </si>
  <si>
    <t>Annual tax pool: 1,320,000 (Monthly 110,000)</t>
  </si>
  <si>
    <t>Annual tax pool: 540,000 (Monthly 45,000)</t>
  </si>
  <si>
    <t>Total Annual salary tax</t>
  </si>
  <si>
    <t>Monthly salary tax</t>
  </si>
  <si>
    <t>Please note that the annual taxable base for salary tax is calculated after deducting the annual personal exemption of 20,000 and the employee's share of social insurance contributions.</t>
  </si>
  <si>
    <t>Tax rate
Annual Salary</t>
  </si>
  <si>
    <t>Basic</t>
  </si>
  <si>
    <t>HRA</t>
  </si>
  <si>
    <t>OT</t>
  </si>
  <si>
    <t>Deduction</t>
  </si>
  <si>
    <t>Bonus</t>
  </si>
  <si>
    <t>Loan</t>
  </si>
  <si>
    <t>Tax</t>
  </si>
  <si>
    <t>Salary Fields</t>
  </si>
  <si>
    <t>Re-Imburesment</t>
  </si>
  <si>
    <t>Flight Allowance</t>
  </si>
  <si>
    <t>Re-Alocation Allowance</t>
  </si>
  <si>
    <t>Other</t>
  </si>
  <si>
    <t>Absenties</t>
  </si>
  <si>
    <t>Lateness or Early leave</t>
  </si>
  <si>
    <t>Sick leave</t>
  </si>
  <si>
    <t>Sancations/ Penality</t>
  </si>
  <si>
    <t>Yealy</t>
  </si>
  <si>
    <t>Total Monthly Salary</t>
  </si>
  <si>
    <t>Total Net Salary</t>
  </si>
  <si>
    <t>Total Deduction</t>
  </si>
  <si>
    <t>Transport Allowence</t>
  </si>
  <si>
    <t>Variable Allowance</t>
  </si>
  <si>
    <t>Amr -Every Month</t>
  </si>
  <si>
    <t>Mohammed Ali -Every Month</t>
  </si>
  <si>
    <t>Gross Salary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</si>
</sst>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444746"/>
      <name val="Google Sans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43" fontId="0" fillId="2" borderId="2" xfId="1" applyFont="1" applyFill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43" fontId="0" fillId="2" borderId="7" xfId="1" applyFont="1" applyFill="1" applyBorder="1" applyAlignment="1">
      <alignment horizontal="center" vertical="center"/>
    </xf>
    <xf numFmtId="43" fontId="0" fillId="2" borderId="7" xfId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43" fontId="0" fillId="3" borderId="2" xfId="1" applyFont="1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43" fontId="0" fillId="2" borderId="9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3" fontId="0" fillId="3" borderId="13" xfId="0" applyNumberForma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43" fontId="2" fillId="0" borderId="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3" fontId="2" fillId="0" borderId="4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0" borderId="10" xfId="0" applyNumberFormat="1" applyFont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43" fontId="3" fillId="0" borderId="0" xfId="1" applyFont="1"/>
    <xf numFmtId="0" fontId="6" fillId="0" borderId="0" xfId="0" applyFont="1"/>
    <xf numFmtId="0" fontId="5" fillId="0" borderId="0" xfId="0" applyFont="1"/>
    <xf numFmtId="0" fontId="3" fillId="0" borderId="0" xfId="0" applyFont="1"/>
    <xf numFmtId="43" fontId="3" fillId="0" borderId="21" xfId="1" applyFont="1" applyBorder="1"/>
    <xf numFmtId="43" fontId="3" fillId="0" borderId="21" xfId="1" applyFont="1" applyFill="1" applyBorder="1"/>
    <xf numFmtId="43" fontId="3" fillId="0" borderId="7" xfId="1" applyFont="1" applyBorder="1"/>
    <xf numFmtId="43" fontId="3" fillId="0" borderId="9" xfId="1" applyFont="1" applyBorder="1"/>
    <xf numFmtId="43" fontId="3" fillId="5" borderId="9" xfId="1" applyFont="1" applyFill="1" applyBorder="1"/>
    <xf numFmtId="43" fontId="3" fillId="5" borderId="21" xfId="1" applyFont="1" applyFill="1" applyBorder="1"/>
    <xf numFmtId="43" fontId="7" fillId="5" borderId="7" xfId="1" applyFont="1" applyFill="1" applyBorder="1"/>
    <xf numFmtId="43" fontId="7" fillId="5" borderId="21" xfId="1" applyFont="1" applyFill="1" applyBorder="1"/>
    <xf numFmtId="43" fontId="8" fillId="7" borderId="21" xfId="1" applyFont="1" applyFill="1" applyBorder="1"/>
    <xf numFmtId="43" fontId="7" fillId="0" borderId="0" xfId="1" applyFont="1" applyAlignment="1">
      <alignment horizontal="center"/>
    </xf>
    <xf numFmtId="43" fontId="4" fillId="0" borderId="21" xfId="1" applyFont="1" applyBorder="1" applyAlignment="1">
      <alignment horizontal="center" vertical="center"/>
    </xf>
    <xf numFmtId="43" fontId="3" fillId="6" borderId="9" xfId="1" applyFont="1" applyFill="1" applyBorder="1" applyAlignment="1">
      <alignment horizontal="left"/>
    </xf>
    <xf numFmtId="43" fontId="3" fillId="6" borderId="7" xfId="1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43" fontId="3" fillId="8" borderId="21" xfId="1" applyFont="1" applyFill="1" applyBorder="1"/>
    <xf numFmtId="43" fontId="3" fillId="9" borderId="21" xfId="1" applyFont="1" applyFill="1" applyBorder="1"/>
    <xf numFmtId="43" fontId="4" fillId="8" borderId="0" xfId="0" applyNumberFormat="1" applyFont="1" applyFill="1"/>
    <xf numFmtId="0" fontId="3" fillId="8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ABA5-F27B-4475-B702-04749B18CCA4}">
  <dimension ref="A2:M80"/>
  <sheetViews>
    <sheetView tabSelected="1" topLeftCell="E53" zoomScale="115" zoomScaleNormal="100" workbookViewId="0">
      <selection activeCell="F62" sqref="F62"/>
    </sheetView>
  </sheetViews>
  <sheetFormatPr defaultRowHeight="14.5"/>
  <cols>
    <col min="1" max="1" width="19.81640625" bestFit="1" customWidth="1"/>
    <col min="2" max="2" width="21.26953125" customWidth="1"/>
    <col min="3" max="3" width="24.453125" customWidth="1"/>
    <col min="4" max="4" width="17.1796875" customWidth="1"/>
    <col min="5" max="5" width="28.453125" customWidth="1"/>
    <col min="6" max="6" width="29" customWidth="1"/>
    <col min="7" max="7" width="27.7265625" customWidth="1"/>
    <col min="8" max="8" width="28.1796875" customWidth="1"/>
    <col min="9" max="9" width="24.453125" customWidth="1"/>
    <col min="10" max="10" width="19.81640625" customWidth="1"/>
    <col min="11" max="11" width="24.1796875" customWidth="1"/>
    <col min="12" max="12" width="16.1796875" customWidth="1"/>
    <col min="13" max="13" width="25.7265625" customWidth="1"/>
  </cols>
  <sheetData>
    <row r="2" spans="1:13" ht="15" thickBot="1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33" customHeight="1" thickBot="1">
      <c r="A3" s="30" t="s">
        <v>33</v>
      </c>
      <c r="B3" s="49" t="s">
        <v>5</v>
      </c>
      <c r="C3" s="50"/>
      <c r="D3" s="51" t="s">
        <v>1</v>
      </c>
      <c r="E3" s="52"/>
      <c r="F3" s="49" t="s">
        <v>2</v>
      </c>
      <c r="G3" s="50"/>
      <c r="H3" s="51" t="s">
        <v>3</v>
      </c>
      <c r="I3" s="52"/>
      <c r="J3" s="49" t="s">
        <v>4</v>
      </c>
      <c r="K3" s="50"/>
      <c r="L3" s="53" t="s">
        <v>21</v>
      </c>
      <c r="M3" s="54"/>
    </row>
    <row r="4" spans="1:13" ht="71.150000000000006" customHeight="1">
      <c r="A4" s="12" t="s">
        <v>23</v>
      </c>
      <c r="B4" s="13" t="s">
        <v>22</v>
      </c>
      <c r="C4" s="14" t="s">
        <v>29</v>
      </c>
      <c r="D4" s="15" t="s">
        <v>22</v>
      </c>
      <c r="E4" s="16" t="s">
        <v>24</v>
      </c>
      <c r="F4" s="13" t="s">
        <v>22</v>
      </c>
      <c r="G4" s="14" t="s">
        <v>25</v>
      </c>
      <c r="H4" s="15" t="s">
        <v>22</v>
      </c>
      <c r="I4" s="16" t="s">
        <v>26</v>
      </c>
      <c r="J4" s="13" t="s">
        <v>22</v>
      </c>
      <c r="K4" s="14" t="s">
        <v>27</v>
      </c>
      <c r="L4" s="17" t="s">
        <v>22</v>
      </c>
      <c r="M4" s="18" t="s">
        <v>28</v>
      </c>
    </row>
    <row r="5" spans="1:13">
      <c r="A5" s="2">
        <v>0</v>
      </c>
      <c r="B5" s="6" t="s">
        <v>6</v>
      </c>
      <c r="C5" s="7">
        <f>40000*0</f>
        <v>0</v>
      </c>
      <c r="D5" s="4">
        <v>0</v>
      </c>
      <c r="E5" s="9">
        <v>0</v>
      </c>
      <c r="F5" s="8">
        <v>0</v>
      </c>
      <c r="G5" s="7">
        <v>0</v>
      </c>
      <c r="H5" s="4">
        <v>0</v>
      </c>
      <c r="I5" s="9">
        <v>0</v>
      </c>
      <c r="J5" s="8">
        <v>0</v>
      </c>
      <c r="K5" s="7">
        <v>0</v>
      </c>
      <c r="L5" s="10">
        <v>0</v>
      </c>
      <c r="M5" s="1">
        <v>0</v>
      </c>
    </row>
    <row r="6" spans="1:13">
      <c r="A6" s="2">
        <v>0.1</v>
      </c>
      <c r="B6" s="6" t="s">
        <v>7</v>
      </c>
      <c r="C6" s="7">
        <f>(55000-40000)*10%</f>
        <v>1500</v>
      </c>
      <c r="D6" s="5" t="s">
        <v>12</v>
      </c>
      <c r="E6" s="9">
        <f>55000*10%</f>
        <v>5500</v>
      </c>
      <c r="F6" s="8">
        <v>0</v>
      </c>
      <c r="G6" s="7">
        <v>0</v>
      </c>
      <c r="H6" s="4">
        <v>0</v>
      </c>
      <c r="I6" s="9">
        <v>0</v>
      </c>
      <c r="J6" s="8">
        <v>0</v>
      </c>
      <c r="K6" s="7">
        <v>0</v>
      </c>
      <c r="L6" s="10">
        <v>0</v>
      </c>
      <c r="M6" s="1">
        <v>0</v>
      </c>
    </row>
    <row r="7" spans="1:13">
      <c r="A7" s="2">
        <v>0.15</v>
      </c>
      <c r="B7" s="6" t="s">
        <v>8</v>
      </c>
      <c r="C7" s="7">
        <f>(70000-55000)*15%</f>
        <v>2250</v>
      </c>
      <c r="D7" s="5" t="s">
        <v>8</v>
      </c>
      <c r="E7" s="9">
        <f>(70000-55000)*15%</f>
        <v>2250</v>
      </c>
      <c r="F7" s="6" t="s">
        <v>13</v>
      </c>
      <c r="G7" s="7">
        <f>70000*15%</f>
        <v>10500</v>
      </c>
      <c r="H7" s="4">
        <v>0</v>
      </c>
      <c r="I7" s="9">
        <v>0</v>
      </c>
      <c r="J7" s="8">
        <v>0</v>
      </c>
      <c r="K7" s="7">
        <v>0</v>
      </c>
      <c r="L7" s="10">
        <v>0</v>
      </c>
      <c r="M7" s="1">
        <v>0</v>
      </c>
    </row>
    <row r="8" spans="1:13">
      <c r="A8" s="2">
        <v>0.2</v>
      </c>
      <c r="B8" s="6" t="s">
        <v>9</v>
      </c>
      <c r="C8" s="7">
        <f>(200000-70000)*20%</f>
        <v>26000</v>
      </c>
      <c r="D8" s="5" t="s">
        <v>9</v>
      </c>
      <c r="E8" s="9">
        <f>(200000-70000)*20%</f>
        <v>26000</v>
      </c>
      <c r="F8" s="6" t="s">
        <v>9</v>
      </c>
      <c r="G8" s="7">
        <f>(200000-70000)*20%</f>
        <v>26000</v>
      </c>
      <c r="H8" s="5" t="s">
        <v>14</v>
      </c>
      <c r="I8" s="9">
        <f>200000*20%</f>
        <v>40000</v>
      </c>
      <c r="J8" s="8">
        <v>0</v>
      </c>
      <c r="K8" s="7">
        <v>0</v>
      </c>
      <c r="L8" s="10">
        <v>0</v>
      </c>
      <c r="M8" s="1">
        <v>0</v>
      </c>
    </row>
    <row r="9" spans="1:13">
      <c r="A9" s="3">
        <v>0.22500000000000001</v>
      </c>
      <c r="B9" s="6" t="s">
        <v>10</v>
      </c>
      <c r="C9" s="7">
        <f>(400000-200000)*22.5%</f>
        <v>45000</v>
      </c>
      <c r="D9" s="5" t="s">
        <v>10</v>
      </c>
      <c r="E9" s="9">
        <f>(400000-200000)*22.5%</f>
        <v>45000</v>
      </c>
      <c r="F9" s="6" t="s">
        <v>10</v>
      </c>
      <c r="G9" s="7">
        <f>(400000-200000)*22.5%</f>
        <v>45000</v>
      </c>
      <c r="H9" s="5" t="s">
        <v>10</v>
      </c>
      <c r="I9" s="9">
        <f>(400000-200000)*22.5%</f>
        <v>45000</v>
      </c>
      <c r="J9" s="6" t="s">
        <v>15</v>
      </c>
      <c r="K9" s="7">
        <f>400000*22.5%</f>
        <v>90000</v>
      </c>
      <c r="L9" s="10">
        <v>0</v>
      </c>
      <c r="M9" s="1">
        <v>0</v>
      </c>
    </row>
    <row r="10" spans="1:13" ht="29">
      <c r="A10" s="2">
        <v>0.25</v>
      </c>
      <c r="B10" s="6" t="s">
        <v>11</v>
      </c>
      <c r="C10" s="7">
        <f>(540000-400000)*25%</f>
        <v>35000</v>
      </c>
      <c r="D10" s="5" t="s">
        <v>16</v>
      </c>
      <c r="E10" s="9">
        <f>(660000-400000)*25%</f>
        <v>65000</v>
      </c>
      <c r="F10" s="6" t="s">
        <v>17</v>
      </c>
      <c r="G10" s="7">
        <f>(780000-400000)*25%</f>
        <v>95000</v>
      </c>
      <c r="H10" s="5" t="s">
        <v>18</v>
      </c>
      <c r="I10" s="9">
        <f>(840000-400000)*25%</f>
        <v>110000</v>
      </c>
      <c r="J10" s="6" t="s">
        <v>19</v>
      </c>
      <c r="K10" s="7">
        <f>(1080000-400000)*25%</f>
        <v>170000</v>
      </c>
      <c r="L10" s="11" t="s">
        <v>20</v>
      </c>
      <c r="M10" s="1">
        <f>1200000*25%</f>
        <v>300000</v>
      </c>
    </row>
    <row r="11" spans="1:13" ht="29">
      <c r="A11" s="3">
        <v>0.27500000000000002</v>
      </c>
      <c r="B11" s="8">
        <v>0</v>
      </c>
      <c r="C11" s="7">
        <v>0</v>
      </c>
      <c r="D11" s="4">
        <v>0</v>
      </c>
      <c r="E11" s="9">
        <v>0</v>
      </c>
      <c r="F11" s="8">
        <v>0</v>
      </c>
      <c r="G11" s="7">
        <v>0</v>
      </c>
      <c r="H11" s="4">
        <v>0</v>
      </c>
      <c r="I11" s="9">
        <v>0</v>
      </c>
      <c r="J11" s="8">
        <v>0</v>
      </c>
      <c r="K11" s="7">
        <v>0</v>
      </c>
      <c r="L11" s="11" t="s">
        <v>21</v>
      </c>
      <c r="M11" s="1">
        <f>(1320000-1200000)*27.5%</f>
        <v>33000</v>
      </c>
    </row>
    <row r="12" spans="1:13" s="24" customFormat="1" ht="25.5" customHeight="1">
      <c r="A12" s="19" t="s">
        <v>30</v>
      </c>
      <c r="B12" s="20"/>
      <c r="C12" s="21">
        <f>SUM(C5:C11)</f>
        <v>109750</v>
      </c>
      <c r="D12" s="22"/>
      <c r="E12" s="23">
        <f>SUM(E5:E11)</f>
        <v>143750</v>
      </c>
      <c r="F12" s="20"/>
      <c r="G12" s="21">
        <f>SUM(G5:G11)</f>
        <v>176500</v>
      </c>
      <c r="H12" s="22"/>
      <c r="I12" s="23">
        <f>SUM(I5:I11)</f>
        <v>195000</v>
      </c>
      <c r="J12" s="20"/>
      <c r="K12" s="21">
        <f>SUM(K5:K11)</f>
        <v>260000</v>
      </c>
      <c r="L12" s="20"/>
      <c r="M12" s="21">
        <f>SUM(M5:M11)</f>
        <v>333000</v>
      </c>
    </row>
    <row r="13" spans="1:13" s="24" customFormat="1" ht="25.5" customHeight="1" thickBot="1">
      <c r="A13" s="25" t="s">
        <v>31</v>
      </c>
      <c r="B13" s="26"/>
      <c r="C13" s="27">
        <f>C12/12</f>
        <v>9145.8333333333339</v>
      </c>
      <c r="D13" s="28"/>
      <c r="E13" s="29">
        <f>E12/12</f>
        <v>11979.166666666666</v>
      </c>
      <c r="F13" s="26"/>
      <c r="G13" s="27">
        <f>G12/12</f>
        <v>14708.333333333334</v>
      </c>
      <c r="H13" s="28"/>
      <c r="I13" s="29">
        <f>I12/12</f>
        <v>16250</v>
      </c>
      <c r="J13" s="26"/>
      <c r="K13" s="27">
        <f>K12/12</f>
        <v>21666.666666666668</v>
      </c>
      <c r="L13" s="26"/>
      <c r="M13" s="27">
        <f>M12/12</f>
        <v>27750</v>
      </c>
    </row>
    <row r="14" spans="1:13" s="33" customFormat="1" ht="23.5">
      <c r="A14" s="32" t="s">
        <v>32</v>
      </c>
    </row>
    <row r="16" spans="1:13" s="34" customFormat="1" ht="21">
      <c r="B16" s="57">
        <f>G30</f>
        <v>540000</v>
      </c>
    </row>
    <row r="17" spans="5:7" s="34" customFormat="1" ht="26.25" customHeight="1">
      <c r="E17" s="45" t="s">
        <v>57</v>
      </c>
      <c r="F17" s="45"/>
    </row>
    <row r="18" spans="5:7" s="34" customFormat="1" ht="26.25" customHeight="1">
      <c r="E18" s="46" t="s">
        <v>41</v>
      </c>
      <c r="F18" s="47"/>
    </row>
    <row r="19" spans="5:7" s="31" customFormat="1" ht="16">
      <c r="E19" s="55" t="s">
        <v>34</v>
      </c>
      <c r="F19" s="36">
        <v>40000</v>
      </c>
    </row>
    <row r="20" spans="5:7" s="31" customFormat="1" ht="16">
      <c r="E20" s="55" t="s">
        <v>35</v>
      </c>
      <c r="F20" s="37">
        <v>1000</v>
      </c>
    </row>
    <row r="21" spans="5:7" s="31" customFormat="1" ht="16">
      <c r="E21" s="55" t="s">
        <v>55</v>
      </c>
      <c r="F21" s="37">
        <v>500</v>
      </c>
    </row>
    <row r="22" spans="5:7" s="31" customFormat="1" ht="16">
      <c r="E22" s="55" t="s">
        <v>36</v>
      </c>
      <c r="F22" s="37">
        <v>500</v>
      </c>
    </row>
    <row r="23" spans="5:7" s="31" customFormat="1" ht="16">
      <c r="E23" s="55" t="s">
        <v>42</v>
      </c>
      <c r="F23" s="37">
        <v>500</v>
      </c>
    </row>
    <row r="24" spans="5:7" s="31" customFormat="1" ht="16">
      <c r="E24" s="55" t="s">
        <v>38</v>
      </c>
      <c r="F24" s="37">
        <v>500</v>
      </c>
    </row>
    <row r="25" spans="5:7" s="31" customFormat="1" ht="16">
      <c r="E25" s="55" t="s">
        <v>43</v>
      </c>
      <c r="F25" s="37">
        <v>500</v>
      </c>
    </row>
    <row r="26" spans="5:7" s="31" customFormat="1" ht="16">
      <c r="E26" s="55" t="s">
        <v>54</v>
      </c>
      <c r="F26" s="37">
        <v>500</v>
      </c>
    </row>
    <row r="27" spans="5:7" s="31" customFormat="1" ht="16">
      <c r="E27" s="55" t="s">
        <v>44</v>
      </c>
      <c r="F27" s="37">
        <v>500</v>
      </c>
    </row>
    <row r="28" spans="5:7" s="31" customFormat="1" ht="16">
      <c r="E28" s="55" t="s">
        <v>45</v>
      </c>
      <c r="F28" s="37">
        <v>500</v>
      </c>
    </row>
    <row r="29" spans="5:7" s="31" customFormat="1" ht="16">
      <c r="E29" s="38"/>
      <c r="F29" s="37"/>
      <c r="G29" s="44" t="s">
        <v>50</v>
      </c>
    </row>
    <row r="30" spans="5:7" s="31" customFormat="1" ht="16">
      <c r="E30" s="39" t="s">
        <v>58</v>
      </c>
      <c r="F30" s="41">
        <f>SUM(F19:F29)</f>
        <v>45000</v>
      </c>
      <c r="G30" s="44">
        <f>F30*12</f>
        <v>540000</v>
      </c>
    </row>
    <row r="31" spans="5:7" s="31" customFormat="1" ht="16">
      <c r="E31" s="38"/>
      <c r="F31" s="37"/>
    </row>
    <row r="32" spans="5:7" s="31" customFormat="1" ht="16">
      <c r="E32" s="46" t="s">
        <v>37</v>
      </c>
      <c r="F32" s="47"/>
    </row>
    <row r="33" spans="5:6" s="31" customFormat="1" ht="16">
      <c r="E33" s="55" t="s">
        <v>39</v>
      </c>
      <c r="F33" s="35">
        <v>200</v>
      </c>
    </row>
    <row r="34" spans="5:6" s="31" customFormat="1" ht="16">
      <c r="E34" s="35" t="s">
        <v>40</v>
      </c>
      <c r="F34" s="35">
        <v>16250</v>
      </c>
    </row>
    <row r="35" spans="5:6" s="31" customFormat="1" ht="16">
      <c r="E35" s="55" t="s">
        <v>46</v>
      </c>
      <c r="F35" s="35">
        <v>200</v>
      </c>
    </row>
    <row r="36" spans="5:6" s="31" customFormat="1" ht="16">
      <c r="E36" s="55" t="s">
        <v>47</v>
      </c>
      <c r="F36" s="35">
        <v>200</v>
      </c>
    </row>
    <row r="37" spans="5:6" s="31" customFormat="1" ht="16">
      <c r="E37" s="55" t="s">
        <v>48</v>
      </c>
      <c r="F37" s="35">
        <v>200</v>
      </c>
    </row>
    <row r="38" spans="5:6" s="31" customFormat="1" ht="16">
      <c r="E38" s="55" t="s">
        <v>49</v>
      </c>
      <c r="F38" s="35">
        <v>200</v>
      </c>
    </row>
    <row r="39" spans="5:6" s="31" customFormat="1" ht="16">
      <c r="E39" s="55" t="s">
        <v>46</v>
      </c>
      <c r="F39" s="35">
        <v>355</v>
      </c>
    </row>
    <row r="40" spans="5:6" s="31" customFormat="1" ht="16">
      <c r="E40" s="35"/>
      <c r="F40" s="35"/>
    </row>
    <row r="41" spans="5:6" s="31" customFormat="1" ht="16">
      <c r="E41" s="40" t="s">
        <v>53</v>
      </c>
      <c r="F41" s="42">
        <f>SUM(F33:F40)</f>
        <v>17605</v>
      </c>
    </row>
    <row r="42" spans="5:6" s="31" customFormat="1" ht="16">
      <c r="E42" s="35"/>
      <c r="F42" s="35"/>
    </row>
    <row r="43" spans="5:6" s="31" customFormat="1" ht="18.5">
      <c r="E43" s="43" t="s">
        <v>52</v>
      </c>
      <c r="F43" s="43">
        <f>F30-F41</f>
        <v>27395</v>
      </c>
    </row>
    <row r="44" spans="5:6" s="34" customFormat="1" ht="16"/>
    <row r="45" spans="5:6" s="34" customFormat="1" ht="16"/>
    <row r="53" spans="5:8" ht="21">
      <c r="E53" s="34"/>
      <c r="F53" s="45" t="s">
        <v>56</v>
      </c>
      <c r="G53" s="45"/>
      <c r="H53" s="34"/>
    </row>
    <row r="54" spans="5:8" ht="16">
      <c r="E54" s="58"/>
      <c r="F54" s="46" t="s">
        <v>41</v>
      </c>
      <c r="G54" s="47"/>
      <c r="H54" s="34"/>
    </row>
    <row r="55" spans="5:8" ht="16">
      <c r="E55" s="31"/>
      <c r="F55" s="55" t="s">
        <v>34</v>
      </c>
      <c r="G55" s="36">
        <v>60000</v>
      </c>
      <c r="H55" s="31"/>
    </row>
    <row r="56" spans="5:8" ht="16">
      <c r="E56" s="31"/>
      <c r="F56" s="55" t="s">
        <v>35</v>
      </c>
      <c r="G56" s="37">
        <v>2000</v>
      </c>
      <c r="H56" s="31"/>
    </row>
    <row r="57" spans="5:8" ht="16">
      <c r="E57" s="31"/>
      <c r="F57" s="56" t="s">
        <v>55</v>
      </c>
      <c r="G57" s="37">
        <v>1000</v>
      </c>
      <c r="H57" s="31"/>
    </row>
    <row r="58" spans="5:8" ht="16">
      <c r="E58" s="31"/>
      <c r="F58" s="56" t="s">
        <v>36</v>
      </c>
      <c r="G58" s="37">
        <v>1000</v>
      </c>
      <c r="H58" s="31"/>
    </row>
    <row r="59" spans="5:8" ht="16">
      <c r="E59" s="31"/>
      <c r="F59" s="56" t="s">
        <v>42</v>
      </c>
      <c r="G59" s="37">
        <v>1000</v>
      </c>
      <c r="H59" s="31"/>
    </row>
    <row r="60" spans="5:8" ht="16">
      <c r="E60" s="31"/>
      <c r="F60" s="56" t="s">
        <v>38</v>
      </c>
      <c r="G60" s="37">
        <v>1000</v>
      </c>
      <c r="H60" s="31"/>
    </row>
    <row r="61" spans="5:8" ht="16">
      <c r="E61" s="31"/>
      <c r="F61" s="56" t="s">
        <v>43</v>
      </c>
      <c r="G61" s="37">
        <v>1000</v>
      </c>
      <c r="H61" s="31"/>
    </row>
    <row r="62" spans="5:8" ht="16">
      <c r="E62" s="31"/>
      <c r="F62" s="55" t="s">
        <v>54</v>
      </c>
      <c r="G62" s="37">
        <v>1000</v>
      </c>
      <c r="H62" s="31"/>
    </row>
    <row r="63" spans="5:8" ht="16">
      <c r="E63" s="31"/>
      <c r="F63" s="56" t="s">
        <v>44</v>
      </c>
      <c r="G63" s="37">
        <v>1000</v>
      </c>
      <c r="H63" s="31"/>
    </row>
    <row r="64" spans="5:8" ht="16">
      <c r="E64" s="31"/>
      <c r="F64" s="56" t="s">
        <v>45</v>
      </c>
      <c r="G64" s="37">
        <v>1000</v>
      </c>
      <c r="H64" s="31"/>
    </row>
    <row r="65" spans="5:8" ht="16">
      <c r="E65" s="31"/>
      <c r="F65" s="38"/>
      <c r="G65" s="37"/>
      <c r="H65" s="44" t="s">
        <v>50</v>
      </c>
    </row>
    <row r="66" spans="5:8" ht="16">
      <c r="E66" s="31"/>
      <c r="F66" s="39" t="s">
        <v>51</v>
      </c>
      <c r="G66" s="41">
        <f>SUM(G55:G65)</f>
        <v>70000</v>
      </c>
      <c r="H66" s="44">
        <f>G66*12</f>
        <v>840000</v>
      </c>
    </row>
    <row r="67" spans="5:8" ht="16">
      <c r="E67" s="31"/>
      <c r="F67" s="38"/>
      <c r="G67" s="37"/>
      <c r="H67" s="31"/>
    </row>
    <row r="68" spans="5:8" ht="16">
      <c r="E68" s="31"/>
      <c r="F68" s="46" t="s">
        <v>37</v>
      </c>
      <c r="G68" s="47"/>
      <c r="H68" s="31"/>
    </row>
    <row r="69" spans="5:8" ht="16">
      <c r="E69" s="31"/>
      <c r="F69" s="55" t="s">
        <v>39</v>
      </c>
      <c r="G69" s="35">
        <v>500</v>
      </c>
      <c r="H69" s="31"/>
    </row>
    <row r="70" spans="5:8" ht="16">
      <c r="E70" s="31"/>
      <c r="F70" s="35" t="s">
        <v>40</v>
      </c>
      <c r="G70" s="35">
        <v>16250</v>
      </c>
      <c r="H70" s="31"/>
    </row>
    <row r="71" spans="5:8" ht="16">
      <c r="E71" s="31"/>
      <c r="F71" s="55" t="s">
        <v>46</v>
      </c>
      <c r="G71" s="35">
        <v>500</v>
      </c>
      <c r="H71" s="31"/>
    </row>
    <row r="72" spans="5:8" ht="16">
      <c r="E72" s="31"/>
      <c r="F72" s="55" t="s">
        <v>47</v>
      </c>
      <c r="G72" s="35">
        <v>500</v>
      </c>
      <c r="H72" s="31"/>
    </row>
    <row r="73" spans="5:8" ht="16">
      <c r="E73" s="31"/>
      <c r="F73" s="55" t="s">
        <v>48</v>
      </c>
      <c r="G73" s="35">
        <v>500</v>
      </c>
      <c r="H73" s="31"/>
    </row>
    <row r="74" spans="5:8" ht="16">
      <c r="E74" s="31"/>
      <c r="F74" s="55" t="s">
        <v>49</v>
      </c>
      <c r="G74" s="35">
        <v>500</v>
      </c>
      <c r="H74" s="31"/>
    </row>
    <row r="75" spans="5:8" ht="16">
      <c r="E75" s="31"/>
      <c r="F75" s="55" t="s">
        <v>46</v>
      </c>
      <c r="G75" s="35">
        <v>500</v>
      </c>
      <c r="H75" s="31"/>
    </row>
    <row r="76" spans="5:8" ht="16">
      <c r="E76" s="31"/>
      <c r="F76" s="35"/>
      <c r="G76" s="35"/>
      <c r="H76" s="31"/>
    </row>
    <row r="77" spans="5:8" ht="16">
      <c r="E77" s="31"/>
      <c r="F77" s="40" t="s">
        <v>53</v>
      </c>
      <c r="G77" s="42">
        <f>SUM(G69:G76)</f>
        <v>19250</v>
      </c>
      <c r="H77" s="31"/>
    </row>
    <row r="78" spans="5:8" ht="16">
      <c r="E78" s="31"/>
      <c r="F78" s="35"/>
      <c r="G78" s="35"/>
      <c r="H78" s="31"/>
    </row>
    <row r="79" spans="5:8" ht="18.5">
      <c r="E79" s="31"/>
      <c r="F79" s="43" t="s">
        <v>52</v>
      </c>
      <c r="G79" s="43">
        <f>G66-G77</f>
        <v>50750</v>
      </c>
      <c r="H79" s="31"/>
    </row>
    <row r="80" spans="5:8" ht="16">
      <c r="E80" s="34"/>
      <c r="F80" s="34"/>
      <c r="G80" s="34"/>
      <c r="H80" s="34"/>
    </row>
  </sheetData>
  <mergeCells count="13">
    <mergeCell ref="F53:G53"/>
    <mergeCell ref="F54:G54"/>
    <mergeCell ref="F68:G68"/>
    <mergeCell ref="E17:F17"/>
    <mergeCell ref="E18:F18"/>
    <mergeCell ref="E32:F32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Nassar</dc:creator>
  <cp:lastModifiedBy>Amr Syedali</cp:lastModifiedBy>
  <dcterms:created xsi:type="dcterms:W3CDTF">2026-09-14T06:15:33Z</dcterms:created>
  <dcterms:modified xsi:type="dcterms:W3CDTF">2026-09-18T14:11:53Z</dcterms:modified>
</cp:coreProperties>
</file>